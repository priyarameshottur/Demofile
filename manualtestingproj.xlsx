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P\others\SWTT\Projects\"/>
    </mc:Choice>
  </mc:AlternateContent>
  <xr:revisionPtr revIDLastSave="0" documentId="13_ncr:1_{62E7E862-07E5-4F60-96B1-FB74C4870ED1}" xr6:coauthVersionLast="47" xr6:coauthVersionMax="47" xr10:uidLastSave="{00000000-0000-0000-0000-000000000000}"/>
  <bookViews>
    <workbookView xWindow="-108" yWindow="-108" windowWidth="23256" windowHeight="12456" firstSheet="2" activeTab="6" xr2:uid="{C8BFBC3A-470A-4522-8D14-EFE92BE7B26D}"/>
  </bookViews>
  <sheets>
    <sheet name="Home" sheetId="1" r:id="rId1"/>
    <sheet name="Product selection" sheetId="2" r:id="rId2"/>
    <sheet name="Cart" sheetId="3" r:id="rId3"/>
    <sheet name="Payment functionality" sheetId="4" r:id="rId4"/>
    <sheet name="Customer Review" sheetId="5" r:id="rId5"/>
    <sheet name="Bug Report" sheetId="6" r:id="rId6"/>
    <sheet name="Test Execution Summary" sheetId="8" r:id="rId7"/>
    <sheet name="Defect Distibution graph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8" l="1"/>
  <c r="C10" i="8"/>
  <c r="D10" i="8" s="1"/>
</calcChain>
</file>

<file path=xl/sharedStrings.xml><?xml version="1.0" encoding="utf-8"?>
<sst xmlns="http://schemas.openxmlformats.org/spreadsheetml/2006/main" count="872" uniqueCount="510">
  <si>
    <t>Test case id</t>
  </si>
  <si>
    <t>Test description</t>
  </si>
  <si>
    <t>Test steps</t>
  </si>
  <si>
    <t>Test data</t>
  </si>
  <si>
    <t>Expected result</t>
  </si>
  <si>
    <t>Actual result</t>
  </si>
  <si>
    <t xml:space="preserve"> Status</t>
  </si>
  <si>
    <t>AR_HOME_001</t>
  </si>
  <si>
    <t>Verify on entering the URL, the website is opening or not</t>
  </si>
  <si>
    <t>AR_HOME_002</t>
  </si>
  <si>
    <t>AR_HOME_003</t>
  </si>
  <si>
    <t>AR_HOME_004</t>
  </si>
  <si>
    <t>AR_HOME_005</t>
  </si>
  <si>
    <t>AR_HOME_006</t>
  </si>
  <si>
    <t>AR_HOME_007</t>
  </si>
  <si>
    <t>AR_HOME_008</t>
  </si>
  <si>
    <t>AR_HOME_009</t>
  </si>
  <si>
    <t>AR_HOME_010</t>
  </si>
  <si>
    <t>AR_HOME_011</t>
  </si>
  <si>
    <t>AR_HOME_012</t>
  </si>
  <si>
    <t>AR_HOME_013</t>
  </si>
  <si>
    <t>AR_HOME_014</t>
  </si>
  <si>
    <t>AR_HOME_015</t>
  </si>
  <si>
    <t>AR_HOME_016</t>
  </si>
  <si>
    <t>AR_HOME_017</t>
  </si>
  <si>
    <t>AR_HOME_018</t>
  </si>
  <si>
    <t>AR_HOME_019</t>
  </si>
  <si>
    <t>AR_HOME_020</t>
  </si>
  <si>
    <t>AR_HOME_021</t>
  </si>
  <si>
    <t>AR_HOME_022</t>
  </si>
  <si>
    <t>Verify the responsiveness of the website</t>
  </si>
  <si>
    <t>Verify if there is logo is visible and on clicking the logo takes you to the home page</t>
  </si>
  <si>
    <t>Verify if the search button in the home page is working or not</t>
  </si>
  <si>
    <t>FAIL</t>
  </si>
  <si>
    <t>Verify if the Menu is opening</t>
  </si>
  <si>
    <t>Verify if the items in the menu dropdown is easily visible</t>
  </si>
  <si>
    <t>Verify if the Products listed under options in the menu matches with the products given in the main page under the same name</t>
  </si>
  <si>
    <t>Verify if you are able to add items to the wishlist and the wishlist is displayed properly</t>
  </si>
  <si>
    <t>Verify if you are able to add items to the cart or not</t>
  </si>
  <si>
    <t>Verify if the 'My order' button is working or not</t>
  </si>
  <si>
    <t>Verify if the' Home' button is working</t>
  </si>
  <si>
    <t>Verify if the 'Help' button is working or not</t>
  </si>
  <si>
    <t>Verify if the subsection of the home page uniformly arranged</t>
  </si>
  <si>
    <t>Verify if the pictures are properly aligned</t>
  </si>
  <si>
    <t>Verify if all the webelements including the text is neatly arranged and fully visible in "Why People Love us"section</t>
  </si>
  <si>
    <t>Verify if photos under "why people love us" section clickable</t>
  </si>
  <si>
    <t>Verify if the Mouse cursor type is wrong on those photos and are used in place of arrow marks to move each photos</t>
  </si>
  <si>
    <t>Verify the arrow marks placed upon the photos of "Explore our best sellers" category is working or not</t>
  </si>
  <si>
    <t>Verify if all the products include price,size,rating and offer details</t>
  </si>
  <si>
    <t>Verify if all the subsections headings are written uniformly</t>
  </si>
  <si>
    <t>Verify if FAQ and About us can be included in the menu or as button in the top of the page</t>
  </si>
  <si>
    <t>Verify in most of the places the mouse pointer is that of a link eventhough there is no link to click</t>
  </si>
  <si>
    <t>AR_HOME_023</t>
  </si>
  <si>
    <t>AR_HOME_024</t>
  </si>
  <si>
    <t>AR_HOME_025</t>
  </si>
  <si>
    <t>AR_HOME_026</t>
  </si>
  <si>
    <t>AR_HOME_027</t>
  </si>
  <si>
    <t>AR_HOME_029</t>
  </si>
  <si>
    <t>AR_HOME_030</t>
  </si>
  <si>
    <t>AR_HOME_031</t>
  </si>
  <si>
    <t>Is back button taking you to the previous page, the last position</t>
  </si>
  <si>
    <t>Verify if tooptip provided</t>
  </si>
  <si>
    <t>AR_PS_001</t>
  </si>
  <si>
    <t>AR_PS_002</t>
  </si>
  <si>
    <t>AR_PS_003</t>
  </si>
  <si>
    <t>AR_PS_004</t>
  </si>
  <si>
    <t>AR_PS_005</t>
  </si>
  <si>
    <t>AR_PS_006</t>
  </si>
  <si>
    <t>AR_PS_007</t>
  </si>
  <si>
    <t>AR_PS_008</t>
  </si>
  <si>
    <t>AR_PS_009</t>
  </si>
  <si>
    <t>AR_PS_010</t>
  </si>
  <si>
    <t>AR_PS_011</t>
  </si>
  <si>
    <t>AR_PS_012</t>
  </si>
  <si>
    <t>AR_PS_013</t>
  </si>
  <si>
    <t>AR_PS_014</t>
  </si>
  <si>
    <t>Verify if you are able to click a particular picture of a product and the details are showing up</t>
  </si>
  <si>
    <t>Verify if you are able to click a category of product and the listing is done with all the details</t>
  </si>
  <si>
    <t>Verify if items can be added to "wishlist"</t>
  </si>
  <si>
    <t>Verify if the "Sort by" button is working properly or not</t>
  </si>
  <si>
    <t>Verify if the "Filter by button is working or not</t>
  </si>
  <si>
    <t>Verify if the category buttons in the product listing page is properly  and fully displayed</t>
  </si>
  <si>
    <t>Verify if the Hot deals buttons are properly displayed</t>
  </si>
  <si>
    <t>Verify if the "Size" button is clickable and opens the size chart</t>
  </si>
  <si>
    <t>Verify if the "Free Gift" button is clickable and shows the details of the Free Gift</t>
  </si>
  <si>
    <t>Verify if navigation through the page is possible</t>
  </si>
  <si>
    <t>Verify if the product list is divided into pages or it just scrolls into a never ending list</t>
  </si>
  <si>
    <t>Verify if the arrow mark to navigate between pictures is working or not</t>
  </si>
  <si>
    <t xml:space="preserve">Verify if the sliders are working properly </t>
  </si>
  <si>
    <t>Verify the need for both sliders and arrow marks along with picture list</t>
  </si>
  <si>
    <t>AR_PS_015</t>
  </si>
  <si>
    <t>AR_PS_016</t>
  </si>
  <si>
    <t>AR_PS_017</t>
  </si>
  <si>
    <t>AR_PS_018</t>
  </si>
  <si>
    <t>AR_PS_019</t>
  </si>
  <si>
    <t>Verify if you are able to add items to " Wish list" from the product details page</t>
  </si>
  <si>
    <t>Verify if the share button is working or not</t>
  </si>
  <si>
    <t>Verify if the Category of the product, Price is listed or not</t>
  </si>
  <si>
    <t>Verify if the Size chart for Kurta as well as Trousers is displayed properly and able to click and select the size required</t>
  </si>
  <si>
    <t>Verify if Ratings and Customer reviews along with Customer pictures are included</t>
  </si>
  <si>
    <t>Verify if "Product details" button is working properly and include all details</t>
  </si>
  <si>
    <t>AR_PS_020</t>
  </si>
  <si>
    <t>AR_PS_021</t>
  </si>
  <si>
    <t>AR_PS_022</t>
  </si>
  <si>
    <t>AR_PS_023</t>
  </si>
  <si>
    <t>AR_PS_024</t>
  </si>
  <si>
    <t>AR_PS_025</t>
  </si>
  <si>
    <t>AR_PS_026</t>
  </si>
  <si>
    <t>AR_PS_027</t>
  </si>
  <si>
    <t>AR_PS_028</t>
  </si>
  <si>
    <t>AR_PS_029</t>
  </si>
  <si>
    <t>AR_PS_030</t>
  </si>
  <si>
    <t>Verify the mouse pointer for "View more reviews"</t>
  </si>
  <si>
    <t>Verify if "Returns and Refunds" button is working properly and include all details</t>
  </si>
  <si>
    <t>Verify if "Wash Care" button is working properly and include all details</t>
  </si>
  <si>
    <t>Verify if "Product Description" button is working properly and include all details</t>
  </si>
  <si>
    <t>Verify if one button is clicked, previously opened button details are automatically getting closed or the user needs to press '-' each time to close the details    ----lots of scrolling required</t>
  </si>
  <si>
    <t>Verify how many items in "Recently viewed" list</t>
  </si>
  <si>
    <t>Verify if the "Other options at the end of the page can be placed along with other Product Details buttons</t>
  </si>
  <si>
    <t xml:space="preserve">Verify if the "Buy Now" and "Add to Cart" buttons are working properly </t>
  </si>
  <si>
    <t>Verify if you are allowed to Buy or Add to Cart without selecting the size</t>
  </si>
  <si>
    <t>Verify if the "Buy Now" and "Add to Cart" buttons are placed in the page fixed.</t>
  </si>
  <si>
    <t>Verify if Home button is placed in the Cart page</t>
  </si>
  <si>
    <t>Verify if the Logo is there in the Cart page</t>
  </si>
  <si>
    <t>AR_CART_001</t>
  </si>
  <si>
    <t>AR_CART_002</t>
  </si>
  <si>
    <t>AR_CART_003</t>
  </si>
  <si>
    <t>AR_CART_004</t>
  </si>
  <si>
    <t>AR_CART_005</t>
  </si>
  <si>
    <t>AR_CART_006</t>
  </si>
  <si>
    <t>AR_CART_007</t>
  </si>
  <si>
    <t>AR_CART_008</t>
  </si>
  <si>
    <t>AR_CART_009</t>
  </si>
  <si>
    <t>AR_CART_010</t>
  </si>
  <si>
    <t>AR_CART_011</t>
  </si>
  <si>
    <t>Verify if the product image is clickable and is getting enlarged</t>
  </si>
  <si>
    <t xml:space="preserve">Verfiy if quantity of item can be increased and decreased </t>
  </si>
  <si>
    <t>Verify if the size requirement can be edited</t>
  </si>
  <si>
    <t>Verify if the item can be removed from the cart</t>
  </si>
  <si>
    <t>Verify if all the selected items are listed in the cart</t>
  </si>
  <si>
    <t>Verify if new items can be added using the"Add Items" button in the cart</t>
  </si>
  <si>
    <t>Verify if coupon code  for the free pouch is automatically added</t>
  </si>
  <si>
    <t>AR_PM_001</t>
  </si>
  <si>
    <t>AR_PM_002</t>
  </si>
  <si>
    <t>AR_PM_003</t>
  </si>
  <si>
    <t>AR_PM_004</t>
  </si>
  <si>
    <t>AR_PM_005</t>
  </si>
  <si>
    <t>Verify if the payment can be done without entering mobile number</t>
  </si>
  <si>
    <t>Verify if the no. of digits of  mobile number entered is less than 9</t>
  </si>
  <si>
    <t>Verify on entering a valid mobile number OTP is received or not</t>
  </si>
  <si>
    <t>Verify if the OTP resend button is clickable</t>
  </si>
  <si>
    <t>Verify if the option for choosing for a different shipping address is there</t>
  </si>
  <si>
    <t>Verify after the address is confirmed you are given different payment methods</t>
  </si>
  <si>
    <t>Verify if "Cash on Delivery" is the default method of payment</t>
  </si>
  <si>
    <t>Verify if after the confirmation of the order. Are you getting a Order confirmation message in the system as well as in the mobile</t>
  </si>
  <si>
    <t>Verify if the message talks about the expected delivery date</t>
  </si>
  <si>
    <t>Verify if all the links given under"About Us" like terms of service, privacy policy, Return policy,Shipping policy is clickable and opening the documents</t>
  </si>
  <si>
    <t>AR_CR_001</t>
  </si>
  <si>
    <t>AR_CR_002</t>
  </si>
  <si>
    <t>AR_CR_003</t>
  </si>
  <si>
    <t>Verify if the "Testimonials given in the product details is clickable</t>
  </si>
  <si>
    <t>Verify if the "View more reviews" button is working</t>
  </si>
  <si>
    <t>Verify if all the tabs are properly placed and  visible</t>
  </si>
  <si>
    <t>Verify if all the tabs are clickable</t>
  </si>
  <si>
    <t>AR_CR_004</t>
  </si>
  <si>
    <t>PASS</t>
  </si>
  <si>
    <t>AR_PM_006</t>
  </si>
  <si>
    <t>AR_PM_007</t>
  </si>
  <si>
    <t>AR_PM_008</t>
  </si>
  <si>
    <t>AR_PM_009</t>
  </si>
  <si>
    <t>AR_PM_010</t>
  </si>
  <si>
    <t>AR_PM_011</t>
  </si>
  <si>
    <t>1. Click the address bar
2.Enter the URL</t>
  </si>
  <si>
    <t>1. Click the logo</t>
  </si>
  <si>
    <t>1. Click the search box
2. Enter Co-ord set</t>
  </si>
  <si>
    <t>"Co-ord set"</t>
  </si>
  <si>
    <t>1. Click add items</t>
  </si>
  <si>
    <t>1.Click Cart</t>
  </si>
  <si>
    <t>1.Click Home</t>
  </si>
  <si>
    <t>1.Click Help</t>
  </si>
  <si>
    <t>1.Click My order</t>
  </si>
  <si>
    <t xml:space="preserve">1. Click the arrow marks next to the phots </t>
  </si>
  <si>
    <t>1. Click if all the webelements including next e  if phots</t>
  </si>
  <si>
    <t>1. Click if the Mouse cursor type is wrong on next n  if phots</t>
  </si>
  <si>
    <t>1. Click if all the links given under About Us like terms next Us if phots</t>
  </si>
  <si>
    <t>1. Click back button</t>
  </si>
  <si>
    <t>1. Click any product picture</t>
  </si>
  <si>
    <t>1. Click  "Shop by Category"</t>
  </si>
  <si>
    <t>1. Click Sort by
2. Click price low to high</t>
  </si>
  <si>
    <t>1. ClickFilter 
2. Click any filters</t>
  </si>
  <si>
    <t>1. Click the size listings</t>
  </si>
  <si>
    <t>1. Click the arrow marks</t>
  </si>
  <si>
    <t>1. Click the sliders</t>
  </si>
  <si>
    <t>1. Click share button</t>
  </si>
  <si>
    <t>Click '+' near Product details</t>
  </si>
  <si>
    <t>Click Returns and Refunds link</t>
  </si>
  <si>
    <t>Click Wash care</t>
  </si>
  <si>
    <t>Click '+' near product Description</t>
  </si>
  <si>
    <t xml:space="preserve">1.Click '+' near Product details
2.Click Returns and Refunds link
</t>
  </si>
  <si>
    <t>1. Click Buy now button
2.Click Add to Cart</t>
  </si>
  <si>
    <t>1. Click the Free Gift ad</t>
  </si>
  <si>
    <t>1. Click the image</t>
  </si>
  <si>
    <t>1.Click '+' or '-'</t>
  </si>
  <si>
    <t>1. Click any size</t>
  </si>
  <si>
    <t>1. Click Apply Coupon</t>
  </si>
  <si>
    <t>Verify if there is any sign-up allowed at any other point</t>
  </si>
  <si>
    <t>1. Click "View more reviews"</t>
  </si>
  <si>
    <t>1.Click all tabs "comfort" "delivery"," fit", "offers","price",...</t>
  </si>
  <si>
    <t>Version Details:</t>
  </si>
  <si>
    <t>Environmental Details:OS- Windows 11; Browser- Google Chrome</t>
  </si>
  <si>
    <t>Reported by: Padmapriya.P</t>
  </si>
  <si>
    <t>Verified by: Viji Venugopal</t>
  </si>
  <si>
    <t>ARAMYA E-COM SHOPPING SITE FOR LADIES DRESSES</t>
  </si>
  <si>
    <t xml:space="preserve">Module name: Home page </t>
  </si>
  <si>
    <t>Module name: Product Selection</t>
  </si>
  <si>
    <t>Date:11.11.2025</t>
  </si>
  <si>
    <t xml:space="preserve">Module name: Cart page </t>
  </si>
  <si>
    <t xml:space="preserve">Module name: Payment Functionality page </t>
  </si>
  <si>
    <t xml:space="preserve">Module name: Customer Review page </t>
  </si>
  <si>
    <t>Should open the website</t>
  </si>
  <si>
    <t>The website launched</t>
  </si>
  <si>
    <t>The website should be designed and open with all the elements properly aligned in all devices with different screen sizes</t>
  </si>
  <si>
    <t>The website is opening has designed only for small screen size such as mobile screens</t>
  </si>
  <si>
    <t>The logo should appear in the website</t>
  </si>
  <si>
    <t>The logo is included in the website</t>
  </si>
  <si>
    <t>The search button should give proper search result</t>
  </si>
  <si>
    <t>On pressing the search button the search result is displayed</t>
  </si>
  <si>
    <t>On clicking the menu the menu should be opened</t>
  </si>
  <si>
    <t>1. Click the menu</t>
  </si>
  <si>
    <t>The menu is opened</t>
  </si>
  <si>
    <t>The items should be visible.</t>
  </si>
  <si>
    <t>The items is not properly arranged. Everytime scrolling needs to be done</t>
  </si>
  <si>
    <t>The items listed in the subsections should be the same irrespective of from where it is clicked</t>
  </si>
  <si>
    <t>The items under the menu is different from those listed in the main page</t>
  </si>
  <si>
    <t>We should be allowed to add items</t>
  </si>
  <si>
    <t>Able to add products to the cart</t>
  </si>
  <si>
    <t>Able to add products to the wishlist</t>
  </si>
  <si>
    <t>We should be allowed to add items to the cart</t>
  </si>
  <si>
    <t>Should take you back to Home</t>
  </si>
  <si>
    <t>Takes back to Home</t>
  </si>
  <si>
    <t>Should open the Help menu</t>
  </si>
  <si>
    <t>Opens the Help menu</t>
  </si>
  <si>
    <t>Should open My order page with all your orders</t>
  </si>
  <si>
    <t>My Order button is kept here for sign-up facility</t>
  </si>
  <si>
    <t>All the subsections should be arranged uniformly</t>
  </si>
  <si>
    <t>The subsections at the right hand side is only visible partially</t>
  </si>
  <si>
    <t>All pictures should be aligned properly</t>
  </si>
  <si>
    <t>All the pictures are not completely visible</t>
  </si>
  <si>
    <t>All the items should have the same details listings</t>
  </si>
  <si>
    <t>Some of the items have price have price and size details while others don’t have those details</t>
  </si>
  <si>
    <t>All webelements should be properly arranged</t>
  </si>
  <si>
    <t>All the text labels are not properly visible</t>
  </si>
  <si>
    <t>If the mouse pointer is of link, it should be clickable</t>
  </si>
  <si>
    <t>Those items are not clickable eventhough the mouse pointer is that of a link.</t>
  </si>
  <si>
    <t>The mouse pointer should be according to the type of webelements</t>
  </si>
  <si>
    <t>In place of arrow marks, it shows mouse pointer for links</t>
  </si>
  <si>
    <t xml:space="preserve">1. Click if the product price for a particular type of item </t>
  </si>
  <si>
    <t xml:space="preserve">Verify if the product price for a particular type of item given in the menu "Special deals" and the icon on the main page"Special deals is the same </t>
  </si>
  <si>
    <t>The item listing should be the same everywhere</t>
  </si>
  <si>
    <t>There is price difference when one place mentions it to be 599, at some other point it is 600</t>
  </si>
  <si>
    <t>All the arrow marks should be pointing to either left or right</t>
  </si>
  <si>
    <t>Both arrow mark points to right</t>
  </si>
  <si>
    <t>Verify if the arrow mark pictures are working or not</t>
  </si>
  <si>
    <t>On clicking the arrow mark, the picture should move</t>
  </si>
  <si>
    <t>On clicking the arrow mark another product is opened</t>
  </si>
  <si>
    <t>Verify if all the subsections uniformly arranged in the uniform design</t>
  </si>
  <si>
    <t>The subsection differ in their designs</t>
  </si>
  <si>
    <t>Verify if the "Share and earn" section has a back button or home button</t>
  </si>
  <si>
    <t>Should have a back button or home button</t>
  </si>
  <si>
    <t>This deadlock not able to go back as no back button nor home button. Only the browser back buttons works</t>
  </si>
  <si>
    <t>All subsections should have headings uniformly</t>
  </si>
  <si>
    <t>Some are given headings while some are not</t>
  </si>
  <si>
    <t>Verify if "Our Journey" section can be included at the end of the product listing</t>
  </si>
  <si>
    <t>The sections should be arranged properly for a good visual appearance</t>
  </si>
  <si>
    <t xml:space="preserve">The sections are not designed and arranged properly </t>
  </si>
  <si>
    <t>All items should be arranged neatlly</t>
  </si>
  <si>
    <t>The sections are not ordered properly</t>
  </si>
  <si>
    <t>The mouse pointer for link and for text should be different</t>
  </si>
  <si>
    <t>In most of the places throughout the web page the mouse pointer is that of a link</t>
  </si>
  <si>
    <t xml:space="preserve"> </t>
  </si>
  <si>
    <t>On pressing back button we should reach back to the previous page and the point where we clicked the link</t>
  </si>
  <si>
    <t>On pressing the back button we go back to the top of the previous page, then we again need to scroll down to reach the position.</t>
  </si>
  <si>
    <t>Tooltip should be given for easy access of the website</t>
  </si>
  <si>
    <t>Tooltip is not given</t>
  </si>
  <si>
    <t>All the links should open the corresponding document</t>
  </si>
  <si>
    <t>All the links are working</t>
  </si>
  <si>
    <t>Should be able to click any product</t>
  </si>
  <si>
    <t>On clicking the picture the product details page opens</t>
  </si>
  <si>
    <t>Should b able to open the product listing under a subsection</t>
  </si>
  <si>
    <t>Opens the set of products arranged under a category</t>
  </si>
  <si>
    <t>Should be able to add items to wishlist on clicking the wishlist button</t>
  </si>
  <si>
    <t>1. Click wishlist button</t>
  </si>
  <si>
    <t>Able to add items to wishlist</t>
  </si>
  <si>
    <t>Should be able to sort products according to the given criteria</t>
  </si>
  <si>
    <t>Able to sort the products</t>
  </si>
  <si>
    <t>Should be able to filter the products according to user's choice</t>
  </si>
  <si>
    <t>Not filtering the products</t>
  </si>
  <si>
    <t>All the buttons should be uniformly arranged and fully visible</t>
  </si>
  <si>
    <t>The right most button is only partially visible</t>
  </si>
  <si>
    <t>Should display all options properly</t>
  </si>
  <si>
    <t>Right most button inHot deals is only partially visible</t>
  </si>
  <si>
    <t>Should display the size options available</t>
  </si>
  <si>
    <t>Displays the size options</t>
  </si>
  <si>
    <t>The button should be clickable and shows the details</t>
  </si>
  <si>
    <t>Shows the free gift details</t>
  </si>
  <si>
    <t>Should be able to navigate through the pages</t>
  </si>
  <si>
    <t>Able to navigate through the pages</t>
  </si>
  <si>
    <t>Should list all the products</t>
  </si>
  <si>
    <t>All the products listed. No page seperation is shown</t>
  </si>
  <si>
    <t>Arrow mark should allow the picture to move in both direction</t>
  </si>
  <si>
    <t>Arrow marks are working fine</t>
  </si>
  <si>
    <t>Sliders should show the different pictures</t>
  </si>
  <si>
    <t>Sliders are moving</t>
  </si>
  <si>
    <t>Both sliders and arrow mark need not be there</t>
  </si>
  <si>
    <t>Both arrow mark and sliders are given. Makes a confusion</t>
  </si>
  <si>
    <t>Should b able to add itens to wishlist</t>
  </si>
  <si>
    <t>Share button should help in sharing the product details through different applications</t>
  </si>
  <si>
    <t>Able to share only through Whatsapp. No other option is given.</t>
  </si>
  <si>
    <t>Should inlcude the price details</t>
  </si>
  <si>
    <t>Includes the price details</t>
  </si>
  <si>
    <t>Should give all ratings and reviews details</t>
  </si>
  <si>
    <t>Shows reviews and ratings of the previous customers</t>
  </si>
  <si>
    <t>Should be a link mouse pointer</t>
  </si>
  <si>
    <t>The mouse pointer is not that of a link</t>
  </si>
  <si>
    <t>Should be able to click and show all product details</t>
  </si>
  <si>
    <t>Able to click and shows the details</t>
  </si>
  <si>
    <t>Should be clickable and shows the details</t>
  </si>
  <si>
    <t>The window previously opened should automatically close otherwise newly opened window won't be seen</t>
  </si>
  <si>
    <t>The previous window is not automatically closing and the new window content are hidden by it</t>
  </si>
  <si>
    <t>Should store atleast 5-8 items</t>
  </si>
  <si>
    <t>Shows only two previously viewed items</t>
  </si>
  <si>
    <t>All the content should be arranged in a proper manner</t>
  </si>
  <si>
    <t>Other options for the product can be very well included along with product details link given in the upper part of the page</t>
  </si>
  <si>
    <t>Should be work fine</t>
  </si>
  <si>
    <t>Both the buttons are working fine</t>
  </si>
  <si>
    <t>Should not allow buy or add to cart without selecting size details</t>
  </si>
  <si>
    <t>Does not allow buy or add to cart without selecting size details</t>
  </si>
  <si>
    <t xml:space="preserve">The buttons should be given as part of the page </t>
  </si>
  <si>
    <t>The buttons are placed out of the page so it keeps moving while scrolling</t>
  </si>
  <si>
    <t>Should have home button in cart page</t>
  </si>
  <si>
    <t>Home button is not there in the Cart page</t>
  </si>
  <si>
    <t>Should have logo in all the pages</t>
  </si>
  <si>
    <t>Logo is not there in the Cart page</t>
  </si>
  <si>
    <t>Should be clickable so that the details can be viewed</t>
  </si>
  <si>
    <t xml:space="preserve">Verify if the "Free gift" option given in the Cart page is clickable </t>
  </si>
  <si>
    <t>The Free gift button is not clickable and hence details are visible</t>
  </si>
  <si>
    <t>The picture should be clickable</t>
  </si>
  <si>
    <t>The picture can be clicked and gets enlarged</t>
  </si>
  <si>
    <t>Should be able to increase or decrease the number of items</t>
  </si>
  <si>
    <t>Able to add or delete a particular item in the cart</t>
  </si>
  <si>
    <t>Should be able to change the size from the cart page</t>
  </si>
  <si>
    <t>Can change size details from the cart page</t>
  </si>
  <si>
    <t>Should be able to remove cart items</t>
  </si>
  <si>
    <t>Able to remove items from the cart</t>
  </si>
  <si>
    <t>Should display all the selected items</t>
  </si>
  <si>
    <t>Displays all the selected items</t>
  </si>
  <si>
    <t>Should be add items on clicking the "Add items"</t>
  </si>
  <si>
    <t>Able to add items on clicking "Add items</t>
  </si>
  <si>
    <t>Verify what happens on clicking the "Apply Coupon"</t>
  </si>
  <si>
    <t xml:space="preserve"> The discount coupon should be shown</t>
  </si>
  <si>
    <t>That is the "Proceed to pay button"</t>
  </si>
  <si>
    <t>The coupon by comparing the price should automatically considered</t>
  </si>
  <si>
    <t xml:space="preserve">Just before the payment, gives you message about the "Free gift included" </t>
  </si>
  <si>
    <t>Payment should be done by giving the mobile number details</t>
  </si>
  <si>
    <t>Payment is done by giving the mobile number details</t>
  </si>
  <si>
    <t>Sign-up at any point should be done</t>
  </si>
  <si>
    <t>Signing up is only done just before purchase</t>
  </si>
  <si>
    <t>Should give an error message</t>
  </si>
  <si>
    <t>The application doesn't respond on giving 9 digit mobile number</t>
  </si>
  <si>
    <t>Should have OTP verification</t>
  </si>
  <si>
    <t>OTP verification is done</t>
  </si>
  <si>
    <t>OTP resend button should resend the OTP</t>
  </si>
  <si>
    <t>Resends the OTP</t>
  </si>
  <si>
    <t>Verify after OTP verification, address details are to be filled</t>
  </si>
  <si>
    <t>Should give address fields</t>
  </si>
  <si>
    <t>Accepts address</t>
  </si>
  <si>
    <t>Should have option to select another address</t>
  </si>
  <si>
    <t>Choice of a second address is given</t>
  </si>
  <si>
    <t>Should proceed to payment</t>
  </si>
  <si>
    <t>Goes to payment page</t>
  </si>
  <si>
    <t>Should be the default payment method as mentioned in their website</t>
  </si>
  <si>
    <t>Cash on Delivery is the default payment method</t>
  </si>
  <si>
    <t>Order confirmation should be given</t>
  </si>
  <si>
    <t>Order confirmation in mobile, Email, and on the page is given</t>
  </si>
  <si>
    <t>Should inform you about the delivery date</t>
  </si>
  <si>
    <t>Inlcude delivery date in the message</t>
  </si>
  <si>
    <t>The button should be clickable</t>
  </si>
  <si>
    <t>The button is clickable</t>
  </si>
  <si>
    <t>The button should show more reviews</t>
  </si>
  <si>
    <t>Is able to clik and shows more reviews</t>
  </si>
  <si>
    <t>Placement and navigation of tabs should be proper</t>
  </si>
  <si>
    <t>Placement and navigation of tabs is not proper</t>
  </si>
  <si>
    <t>All the tabs should be clickable</t>
  </si>
  <si>
    <t>All the tabsare clickable</t>
  </si>
  <si>
    <t>Assigned by: Viji Venugopal</t>
  </si>
  <si>
    <t>BUG_ID</t>
  </si>
  <si>
    <t>TEST_ID</t>
  </si>
  <si>
    <t>BUG DESCRIPTION</t>
  </si>
  <si>
    <t xml:space="preserve">EXPECTED RESULT </t>
  </si>
  <si>
    <t>STEPS TO REPRODUCE</t>
  </si>
  <si>
    <t>EVIDENCE/PROOF</t>
  </si>
  <si>
    <t>SEVERITY</t>
  </si>
  <si>
    <t>PRIORITY</t>
  </si>
  <si>
    <t>STATUS</t>
  </si>
  <si>
    <t>DEF_HOME_001</t>
  </si>
  <si>
    <t>DEF_HOME_002</t>
  </si>
  <si>
    <t>DEF_HOME_003</t>
  </si>
  <si>
    <t>DEF_HOME_004</t>
  </si>
  <si>
    <t>DEF_HOME_005</t>
  </si>
  <si>
    <t>DEF_HOME_006</t>
  </si>
  <si>
    <t>DEF_HOME_007</t>
  </si>
  <si>
    <t>DEF_HOME_008</t>
  </si>
  <si>
    <t>DEF_HOME_009</t>
  </si>
  <si>
    <t>DEF_HOME_010</t>
  </si>
  <si>
    <t>DEF_HOME_011</t>
  </si>
  <si>
    <t>DEF_HOME_012</t>
  </si>
  <si>
    <t>DEF_HOME_013</t>
  </si>
  <si>
    <t>DEF_HOME_014</t>
  </si>
  <si>
    <t>DEF_HOME_015</t>
  </si>
  <si>
    <t>DEF_HOME_016</t>
  </si>
  <si>
    <t>DEF_HOME_017</t>
  </si>
  <si>
    <t>DEF_HOME_018</t>
  </si>
  <si>
    <t>DEF_HOME_019</t>
  </si>
  <si>
    <t>DEF_HOME_020</t>
  </si>
  <si>
    <t>DEF_HOME_021</t>
  </si>
  <si>
    <t>DEF_PS_001</t>
  </si>
  <si>
    <t>DEF_PS_002</t>
  </si>
  <si>
    <t>DEF_PS_003</t>
  </si>
  <si>
    <t>DEF_PS_004</t>
  </si>
  <si>
    <t>DEF_PS_005</t>
  </si>
  <si>
    <t>DEF_PS_006</t>
  </si>
  <si>
    <t>DEF_PS_007</t>
  </si>
  <si>
    <t>DEF_PS_008</t>
  </si>
  <si>
    <t>DEF_PS_009</t>
  </si>
  <si>
    <t>DEF_PS_010</t>
  </si>
  <si>
    <t>DEF_CART_001</t>
  </si>
  <si>
    <t>DEF_CART_002</t>
  </si>
  <si>
    <t>DEF_CART_003</t>
  </si>
  <si>
    <t>DEF_CART_004</t>
  </si>
  <si>
    <t>DEF_PM_001</t>
  </si>
  <si>
    <t>DEF_CR_001</t>
  </si>
  <si>
    <t>NEW</t>
  </si>
  <si>
    <t>ARAMYA E-COM SHOPPING SITE FOR LADIES DRESSES https://aramya.in/</t>
  </si>
  <si>
    <t>ARAMYA E-COM SHOPPING SITE FOR LADIES DRESSES( https://aramya.in/)</t>
  </si>
  <si>
    <t xml:space="preserve"> Fails in Responsiveness of the website</t>
  </si>
  <si>
    <t xml:space="preserve"> The items in the menu dropdown is not easily visible</t>
  </si>
  <si>
    <t>The Products listed under options in the menu does not match with the products given in the main page under the same name</t>
  </si>
  <si>
    <t>The 'My order' button is not working</t>
  </si>
  <si>
    <t xml:space="preserve">The product price for a particular type of item given in the menu "Special deals" and the icon on the main page"Special deals is not the same </t>
  </si>
  <si>
    <t>The subsection of the home page are not uniformly arranged</t>
  </si>
  <si>
    <t>The pictures are not properly aligned</t>
  </si>
  <si>
    <t>All the webelements including the text is not neatly arranged and not fully visible in "Why People Love us"section</t>
  </si>
  <si>
    <t>Photos under "why people love us" section are not clickable</t>
  </si>
  <si>
    <t>The Mouse cursor type is wrong on those photos and are not used in place of arrow marks to move each photos</t>
  </si>
  <si>
    <t xml:space="preserve">The arrow marks placed upon the photos of "Explore our best sellers" category is not working </t>
  </si>
  <si>
    <t>The arrow mark pictures are not working</t>
  </si>
  <si>
    <t>All the subsections are not uniformly arranged in the uniform design</t>
  </si>
  <si>
    <t>All the products does not include price,size,rating and offer details</t>
  </si>
  <si>
    <t>The "Share and earn" section does not have a back button or home button</t>
  </si>
  <si>
    <t>All the subsections headings are not written uniformly</t>
  </si>
  <si>
    <t>"Our Journey" section can be included at the end of the product listing</t>
  </si>
  <si>
    <t>FAQ and About us can be included in the menu or as button in the top of the page</t>
  </si>
  <si>
    <t>Most of the places the mouse pointer is that of a link eventhough there is no link to click</t>
  </si>
  <si>
    <t>Back button is not taking you to the previous page, the last position</t>
  </si>
  <si>
    <t xml:space="preserve">"Filter by button is not working </t>
  </si>
  <si>
    <t>Tooptip is not provided</t>
  </si>
  <si>
    <t>The category buttons in the product listing page is not properly  and fully displayed</t>
  </si>
  <si>
    <t>The Hot deals buttons are not properly displayed</t>
  </si>
  <si>
    <t>Both sliders and arrow marks  are not needed along with picture list</t>
  </si>
  <si>
    <t xml:space="preserve">The share button is not working </t>
  </si>
  <si>
    <t>The mouse pointer for "View more reviews" is not that of a link</t>
  </si>
  <si>
    <t>One button is clicked, previously opened button details are automatically getting closed or the user needs to press '-' each time to close the details    ----lots of scrolling required</t>
  </si>
  <si>
    <t>The number of items in "Recently viewed" list is only two</t>
  </si>
  <si>
    <t>The "Other options" at the end of the page can be placed along with other Product Details buttons</t>
  </si>
  <si>
    <t>The "Buy Now" and "Add to Cart" buttons are not  fixed in the page</t>
  </si>
  <si>
    <t>Home button is not placed in the Cart page</t>
  </si>
  <si>
    <t>The Logo is not there in the Cart page</t>
  </si>
  <si>
    <t xml:space="preserve"> "Free gift" option given in the Cart page is clickable </t>
  </si>
  <si>
    <t xml:space="preserve"> On clicking the "Apply Coupon",signing up is happening</t>
  </si>
  <si>
    <t>When the  no. of digits of  mobile number entered is less than 9, the system does not respond, no error message is given.</t>
  </si>
  <si>
    <t>All the tabs are not properly placed and  visible</t>
  </si>
  <si>
    <t>Module name: Home, Product Selection, Cart, Payment Functionality,Customer Review</t>
  </si>
  <si>
    <t>High</t>
  </si>
  <si>
    <t>Medium</t>
  </si>
  <si>
    <t>Low</t>
  </si>
  <si>
    <t>Major</t>
  </si>
  <si>
    <t>https://drive.google.com/file/d/1IPKixoLaFnsmk6Funuko_crxxlxI5Vov/view?usp=drive_link</t>
  </si>
  <si>
    <t>https://drive.google.com/file/d/14DhZ6CFcHGHi8jrahI4eZmORiV0JHBgb/view?usp=drive_link</t>
  </si>
  <si>
    <t>https://drive.google.com/file/d/1FP55a92TdLKDOFEZZ7TnVSNKefp7hEzB/view?usp=drive_link</t>
  </si>
  <si>
    <t>Date:10.11.2025</t>
  </si>
  <si>
    <t>Severity</t>
  </si>
  <si>
    <t>Minor</t>
  </si>
  <si>
    <t>Priority</t>
  </si>
  <si>
    <t>Metric</t>
  </si>
  <si>
    <t>Percentage</t>
  </si>
  <si>
    <t>Count</t>
  </si>
  <si>
    <t>Total Tests executed</t>
  </si>
  <si>
    <t>Passed</t>
  </si>
  <si>
    <t>Failed</t>
  </si>
  <si>
    <t>Blocked</t>
  </si>
  <si>
    <t>Skipped</t>
  </si>
  <si>
    <t>Total</t>
  </si>
  <si>
    <t>Overall</t>
  </si>
  <si>
    <t>Home</t>
  </si>
  <si>
    <t>Product selection</t>
  </si>
  <si>
    <t>Module</t>
  </si>
  <si>
    <t>Cart</t>
  </si>
  <si>
    <t>Payment Functionality</t>
  </si>
  <si>
    <t>Customer Review</t>
  </si>
  <si>
    <t>TEST EXECUTION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</si>
</sst>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6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A0A0A"/>
      <name val="Calibri"/>
      <family val="2"/>
      <scheme val="minor"/>
    </font>
    <font>
      <sz val="11"/>
      <color rgb="FF0A0A0A"/>
      <name val="Arial"/>
      <family val="2"/>
    </font>
    <font>
      <b/>
      <sz val="11"/>
      <color rgb="FF0A0A0A"/>
      <name val="Arial"/>
      <family val="2"/>
    </font>
    <font>
      <sz val="11"/>
      <color rgb="FF0A0A0A"/>
      <name val="Calibri"/>
      <family val="2"/>
      <scheme val="minor"/>
    </font>
    <font>
      <b/>
      <sz val="11"/>
      <color rgb="FF0A0A0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4"/>
      <color rgb="FF0A0A0A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/>
    </xf>
    <xf numFmtId="0" fontId="10" fillId="0" borderId="0" xfId="0" applyFont="1"/>
    <xf numFmtId="0" fontId="0" fillId="0" borderId="0" xfId="0" applyAlignment="1">
      <alignment horizontal="center"/>
    </xf>
    <xf numFmtId="0" fontId="0" fillId="0" borderId="4" xfId="0" applyBorder="1"/>
    <xf numFmtId="0" fontId="12" fillId="7" borderId="4" xfId="0" applyFont="1" applyFill="1" applyBorder="1" applyAlignment="1">
      <alignment vertical="top" wrapText="1" indent="1"/>
    </xf>
    <xf numFmtId="0" fontId="13" fillId="7" borderId="4" xfId="0" applyFont="1" applyFill="1" applyBorder="1" applyAlignment="1">
      <alignment vertical="top" wrapText="1" indent="1"/>
    </xf>
    <xf numFmtId="0" fontId="10" fillId="0" borderId="4" xfId="0" applyFont="1" applyBorder="1"/>
    <xf numFmtId="0" fontId="14" fillId="7" borderId="4" xfId="0" applyFont="1" applyFill="1" applyBorder="1" applyAlignment="1">
      <alignment wrapText="1"/>
    </xf>
    <xf numFmtId="0" fontId="15" fillId="7" borderId="4" xfId="0" applyFont="1" applyFill="1" applyBorder="1" applyAlignment="1">
      <alignment wrapText="1"/>
    </xf>
    <xf numFmtId="0" fontId="14" fillId="7" borderId="0" xfId="0" applyFont="1" applyFill="1" applyAlignment="1">
      <alignment vertical="top" wrapText="1" indent="1"/>
    </xf>
    <xf numFmtId="0" fontId="14" fillId="7" borderId="0" xfId="0" applyFont="1" applyFill="1" applyAlignment="1">
      <alignment vertical="top" wrapText="1"/>
    </xf>
    <xf numFmtId="0" fontId="15" fillId="7" borderId="0" xfId="0" applyFont="1" applyFill="1" applyAlignment="1">
      <alignment vertical="top" wrapText="1" indent="1"/>
    </xf>
    <xf numFmtId="0" fontId="11" fillId="8" borderId="0" xfId="0" applyFont="1" applyFill="1" applyAlignment="1">
      <alignment horizontal="left" vertical="top" wrapText="1" indent="1"/>
    </xf>
    <xf numFmtId="0" fontId="11" fillId="8" borderId="0" xfId="0" applyFont="1" applyFill="1" applyAlignment="1">
      <alignment horizontal="left" vertical="top" wrapText="1"/>
    </xf>
    <xf numFmtId="0" fontId="16" fillId="0" borderId="4" xfId="0" applyFont="1" applyBorder="1"/>
    <xf numFmtId="0" fontId="17" fillId="0" borderId="4" xfId="0" applyFont="1" applyBorder="1"/>
    <xf numFmtId="0" fontId="5" fillId="6" borderId="0" xfId="0" applyFont="1" applyFill="1"/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/>
    </xf>
    <xf numFmtId="0" fontId="9" fillId="4" borderId="0" xfId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2" fillId="6" borderId="4" xfId="0" applyFont="1" applyFill="1" applyBorder="1" applyAlignment="1">
      <alignment horizontal="center"/>
    </xf>
    <xf numFmtId="0" fontId="18" fillId="6" borderId="4" xfId="0" applyFont="1" applyFill="1" applyBorder="1" applyAlignment="1">
      <alignment horizontal="left" vertical="top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BUG</a:t>
            </a:r>
            <a:r>
              <a:rPr lang="en-IN" b="1" baseline="0"/>
              <a:t> SEVERITY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spPr>
            <a:ln>
              <a:solidFill>
                <a:schemeClr val="bg2">
                  <a:lumMod val="1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bg2">
                    <a:lumMod val="10000"/>
                  </a:schemeClr>
                </a:solidFill>
              </a:ln>
              <a:effectLst/>
              <a:sp3d contourW="25400">
                <a:contourClr>
                  <a:schemeClr val="bg2">
                    <a:lumMod val="1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9B5-40D8-8824-EC26F0FAEB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bg2">
                    <a:lumMod val="10000"/>
                  </a:schemeClr>
                </a:solidFill>
              </a:ln>
              <a:effectLst/>
              <a:sp3d contourW="25400">
                <a:contourClr>
                  <a:schemeClr val="bg2">
                    <a:lumMod val="1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9B5-40D8-8824-EC26F0FAEB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bg2">
                    <a:lumMod val="10000"/>
                  </a:schemeClr>
                </a:solidFill>
              </a:ln>
              <a:effectLst/>
              <a:sp3d contourW="25400">
                <a:contourClr>
                  <a:schemeClr val="bg2">
                    <a:lumMod val="1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9B5-40D8-8824-EC26F0FAEB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bg2">
                    <a:lumMod val="10000"/>
                  </a:schemeClr>
                </a:solidFill>
              </a:ln>
              <a:effectLst/>
              <a:sp3d contourW="25400">
                <a:contourClr>
                  <a:schemeClr val="bg2">
                    <a:lumMod val="1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9B5-40D8-8824-EC26F0FAEB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'Bug Report'!$U$7:$X$7</c:f>
              <c:strCache>
                <c:ptCount val="4"/>
                <c:pt idx="0">
                  <c:v>Major</c:v>
                </c:pt>
                <c:pt idx="1">
                  <c:v>Medium</c:v>
                </c:pt>
                <c:pt idx="2">
                  <c:v>Minor</c:v>
                </c:pt>
                <c:pt idx="3">
                  <c:v>Low</c:v>
                </c:pt>
              </c:strCache>
            </c:strRef>
          </c:cat>
          <c:val>
            <c:numRef>
              <c:f>'Bug Report'!$U$8:$X$8</c:f>
              <c:numCache>
                <c:formatCode>General</c:formatCode>
                <c:ptCount val="4"/>
                <c:pt idx="0">
                  <c:v>8</c:v>
                </c:pt>
                <c:pt idx="1">
                  <c:v>1</c:v>
                </c:pt>
                <c:pt idx="2">
                  <c:v>0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7-45BC-91A2-2F4C27C9038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085301837270342"/>
          <c:y val="0.81076334208223977"/>
          <c:w val="0.5132939632545932"/>
          <c:h val="0.161458880139982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Bug priority chart</a:t>
            </a:r>
          </a:p>
        </c:rich>
      </c:tx>
      <c:layout>
        <c:manualLayout>
          <c:xMode val="edge"/>
          <c:yMode val="edge"/>
          <c:x val="0.3094930008748906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1773541305603697E-2"/>
          <c:y val="0.17958510136727962"/>
          <c:w val="0.93645291738879266"/>
          <c:h val="0.6654166991502299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23-432F-A27A-C5D5FD7A19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23-432F-A27A-C5D5FD7A19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23-432F-A27A-C5D5FD7A19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'Bug Report'!$U$10:$W$10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'Bug Report'!$U$11:$W$11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3-4FA2-ACD3-D4652699F26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363974217260971"/>
          <c:y val="0.86857558646753319"/>
          <c:w val="0.4060654030031341"/>
          <c:h val="0.10313587039243854"/>
        </c:manualLayout>
      </c:layout>
      <c:overlay val="1"/>
      <c:spPr>
        <a:solidFill>
          <a:schemeClr val="accent2">
            <a:lumMod val="20000"/>
            <a:lumOff val="8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5</xdr:row>
      <xdr:rowOff>148590</xdr:rowOff>
    </xdr:from>
    <xdr:to>
      <xdr:col>9</xdr:col>
      <xdr:colOff>480060</xdr:colOff>
      <xdr:row>20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2601CB-988D-BECD-AA20-8D61F7D9D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518160</xdr:colOff>
      <xdr:row>5</xdr:row>
      <xdr:rowOff>148590</xdr:rowOff>
    </xdr:from>
    <xdr:to>
      <xdr:col>17</xdr:col>
      <xdr:colOff>38100</xdr:colOff>
      <xdr:row>20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6119F1-2A44-74FF-6313-3850F4B1F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ramya.in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C657-E77E-47C4-AB49-1FEC5831DB54}">
  <dimension ref="A1:G34"/>
  <sheetViews>
    <sheetView workbookViewId="0">
      <selection activeCell="G15" sqref="G15"/>
    </sheetView>
  </sheetViews>
  <sheetFormatPr defaultRowHeight="14.4" x14ac:dyDescent="0.3"/>
  <cols>
    <col min="1" max="1" width="13.5546875" customWidth="1"/>
    <col min="2" max="2" width="46.21875" customWidth="1"/>
    <col min="3" max="3" width="20.33203125" customWidth="1"/>
    <col min="4" max="4" width="16.33203125" customWidth="1"/>
    <col min="5" max="5" width="18.21875" customWidth="1"/>
    <col min="6" max="6" width="18.5546875" customWidth="1"/>
  </cols>
  <sheetData>
    <row r="1" spans="1:7" ht="18" x14ac:dyDescent="0.3">
      <c r="A1" s="27" t="s">
        <v>443</v>
      </c>
      <c r="B1" s="28"/>
      <c r="C1" s="28"/>
      <c r="D1" s="28"/>
      <c r="E1" s="28"/>
      <c r="F1" s="28"/>
      <c r="G1" s="28"/>
    </row>
    <row r="2" spans="1:7" ht="15.6" x14ac:dyDescent="0.3">
      <c r="A2" s="29" t="s">
        <v>208</v>
      </c>
      <c r="B2" s="30"/>
      <c r="C2" s="31" t="s">
        <v>209</v>
      </c>
      <c r="D2" s="32"/>
      <c r="E2" s="33"/>
      <c r="F2" s="29" t="s">
        <v>210</v>
      </c>
      <c r="G2" s="30"/>
    </row>
    <row r="3" spans="1:7" ht="15.6" x14ac:dyDescent="0.3">
      <c r="A3" s="29" t="s">
        <v>211</v>
      </c>
      <c r="B3" s="30"/>
      <c r="C3" s="29" t="s">
        <v>213</v>
      </c>
      <c r="D3" s="34"/>
      <c r="E3" s="30"/>
      <c r="F3" s="29" t="s">
        <v>215</v>
      </c>
      <c r="G3" s="30"/>
    </row>
    <row r="4" spans="1:7" ht="18" x14ac:dyDescent="0.3">
      <c r="A4" s="1" t="s">
        <v>0</v>
      </c>
      <c r="B4" s="2" t="s">
        <v>1</v>
      </c>
      <c r="C4" s="1" t="s">
        <v>2</v>
      </c>
      <c r="D4" s="2" t="s">
        <v>3</v>
      </c>
      <c r="E4" s="1" t="s">
        <v>4</v>
      </c>
      <c r="F4" s="2" t="s">
        <v>5</v>
      </c>
      <c r="G4" s="2" t="s">
        <v>6</v>
      </c>
    </row>
    <row r="5" spans="1:7" ht="28.8" x14ac:dyDescent="0.3">
      <c r="A5" t="s">
        <v>7</v>
      </c>
      <c r="B5" t="s">
        <v>8</v>
      </c>
      <c r="C5" s="3" t="s">
        <v>172</v>
      </c>
      <c r="E5" s="3" t="s">
        <v>219</v>
      </c>
      <c r="F5" t="s">
        <v>220</v>
      </c>
      <c r="G5" s="7" t="s">
        <v>165</v>
      </c>
    </row>
    <row r="6" spans="1:7" ht="100.8" x14ac:dyDescent="0.3">
      <c r="A6" s="8" t="s">
        <v>9</v>
      </c>
      <c r="B6" s="8" t="s">
        <v>30</v>
      </c>
      <c r="E6" s="3" t="s">
        <v>221</v>
      </c>
      <c r="F6" s="3" t="s">
        <v>222</v>
      </c>
      <c r="G6" s="5" t="s">
        <v>33</v>
      </c>
    </row>
    <row r="7" spans="1:7" ht="43.2" x14ac:dyDescent="0.3">
      <c r="A7" t="s">
        <v>10</v>
      </c>
      <c r="B7" s="3" t="s">
        <v>31</v>
      </c>
      <c r="C7" t="s">
        <v>173</v>
      </c>
      <c r="E7" s="3" t="s">
        <v>223</v>
      </c>
      <c r="F7" t="s">
        <v>224</v>
      </c>
      <c r="G7" s="6" t="s">
        <v>165</v>
      </c>
    </row>
    <row r="8" spans="1:7" ht="57.6" x14ac:dyDescent="0.3">
      <c r="A8" t="s">
        <v>11</v>
      </c>
      <c r="B8" s="3" t="s">
        <v>32</v>
      </c>
      <c r="C8" s="3" t="s">
        <v>174</v>
      </c>
      <c r="D8" t="s">
        <v>175</v>
      </c>
      <c r="E8" s="3" t="s">
        <v>225</v>
      </c>
      <c r="F8" s="3" t="s">
        <v>226</v>
      </c>
      <c r="G8" s="7" t="s">
        <v>165</v>
      </c>
    </row>
    <row r="9" spans="1:7" ht="43.2" x14ac:dyDescent="0.3">
      <c r="A9" t="s">
        <v>12</v>
      </c>
      <c r="B9" t="s">
        <v>34</v>
      </c>
      <c r="C9" t="s">
        <v>228</v>
      </c>
      <c r="E9" s="3" t="s">
        <v>227</v>
      </c>
      <c r="F9" t="s">
        <v>229</v>
      </c>
      <c r="G9" s="6" t="s">
        <v>165</v>
      </c>
    </row>
    <row r="10" spans="1:7" ht="57.6" x14ac:dyDescent="0.3">
      <c r="A10" t="s">
        <v>13</v>
      </c>
      <c r="B10" t="s">
        <v>35</v>
      </c>
      <c r="E10" s="3" t="s">
        <v>230</v>
      </c>
      <c r="F10" s="3" t="s">
        <v>231</v>
      </c>
      <c r="G10" s="5" t="s">
        <v>33</v>
      </c>
    </row>
    <row r="11" spans="1:7" ht="72" x14ac:dyDescent="0.3">
      <c r="A11" t="s">
        <v>14</v>
      </c>
      <c r="B11" s="3" t="s">
        <v>36</v>
      </c>
      <c r="E11" s="3" t="s">
        <v>232</v>
      </c>
      <c r="F11" s="3" t="s">
        <v>233</v>
      </c>
      <c r="G11" s="4" t="s">
        <v>33</v>
      </c>
    </row>
    <row r="12" spans="1:7" ht="28.8" x14ac:dyDescent="0.3">
      <c r="A12" t="s">
        <v>15</v>
      </c>
      <c r="B12" s="3" t="s">
        <v>37</v>
      </c>
      <c r="C12" t="s">
        <v>176</v>
      </c>
      <c r="E12" s="3" t="s">
        <v>234</v>
      </c>
      <c r="F12" s="3" t="s">
        <v>236</v>
      </c>
      <c r="G12" s="7" t="s">
        <v>165</v>
      </c>
    </row>
    <row r="13" spans="1:7" ht="43.2" x14ac:dyDescent="0.3">
      <c r="A13" t="s">
        <v>16</v>
      </c>
      <c r="B13" s="3" t="s">
        <v>38</v>
      </c>
      <c r="C13" t="s">
        <v>177</v>
      </c>
      <c r="E13" s="3" t="s">
        <v>237</v>
      </c>
      <c r="F13" s="3" t="s">
        <v>235</v>
      </c>
      <c r="G13" s="6" t="s">
        <v>165</v>
      </c>
    </row>
    <row r="14" spans="1:7" ht="28.8" x14ac:dyDescent="0.3">
      <c r="A14" t="s">
        <v>17</v>
      </c>
      <c r="B14" s="3" t="s">
        <v>40</v>
      </c>
      <c r="C14" t="s">
        <v>178</v>
      </c>
      <c r="E14" s="3" t="s">
        <v>238</v>
      </c>
      <c r="F14" s="3" t="s">
        <v>239</v>
      </c>
      <c r="G14" s="6" t="s">
        <v>165</v>
      </c>
    </row>
    <row r="15" spans="1:7" ht="28.8" x14ac:dyDescent="0.3">
      <c r="A15" t="s">
        <v>18</v>
      </c>
      <c r="B15" s="3" t="s">
        <v>41</v>
      </c>
      <c r="C15" t="s">
        <v>179</v>
      </c>
      <c r="E15" s="3" t="s">
        <v>240</v>
      </c>
      <c r="F15" s="3" t="s">
        <v>241</v>
      </c>
      <c r="G15" s="6" t="s">
        <v>165</v>
      </c>
    </row>
    <row r="16" spans="1:7" ht="43.2" x14ac:dyDescent="0.3">
      <c r="A16" t="s">
        <v>19</v>
      </c>
      <c r="B16" s="3" t="s">
        <v>39</v>
      </c>
      <c r="C16" t="s">
        <v>180</v>
      </c>
      <c r="E16" s="3" t="s">
        <v>242</v>
      </c>
      <c r="F16" s="3" t="s">
        <v>243</v>
      </c>
      <c r="G16" s="5" t="s">
        <v>33</v>
      </c>
    </row>
    <row r="17" spans="1:7" ht="72" x14ac:dyDescent="0.3">
      <c r="A17" t="s">
        <v>20</v>
      </c>
      <c r="B17" s="3" t="s">
        <v>257</v>
      </c>
      <c r="C17" s="3" t="s">
        <v>256</v>
      </c>
      <c r="E17" s="3" t="s">
        <v>258</v>
      </c>
      <c r="F17" s="3" t="s">
        <v>259</v>
      </c>
      <c r="G17" s="4" t="s">
        <v>33</v>
      </c>
    </row>
    <row r="18" spans="1:7" ht="43.2" x14ac:dyDescent="0.3">
      <c r="A18" t="s">
        <v>21</v>
      </c>
      <c r="B18" s="3" t="s">
        <v>42</v>
      </c>
      <c r="E18" s="3" t="s">
        <v>244</v>
      </c>
      <c r="F18" s="3" t="s">
        <v>245</v>
      </c>
      <c r="G18" s="4" t="s">
        <v>33</v>
      </c>
    </row>
    <row r="19" spans="1:7" ht="43.2" x14ac:dyDescent="0.3">
      <c r="A19" t="s">
        <v>22</v>
      </c>
      <c r="B19" s="3" t="s">
        <v>43</v>
      </c>
      <c r="E19" s="3" t="s">
        <v>246</v>
      </c>
      <c r="F19" s="3" t="s">
        <v>247</v>
      </c>
      <c r="G19" s="4" t="s">
        <v>33</v>
      </c>
    </row>
    <row r="20" spans="1:7" ht="43.2" x14ac:dyDescent="0.3">
      <c r="A20" t="s">
        <v>23</v>
      </c>
      <c r="B20" s="3" t="s">
        <v>44</v>
      </c>
      <c r="C20" s="3" t="s">
        <v>182</v>
      </c>
      <c r="E20" s="3" t="s">
        <v>250</v>
      </c>
      <c r="F20" s="3" t="s">
        <v>251</v>
      </c>
      <c r="G20" s="4" t="s">
        <v>33</v>
      </c>
    </row>
    <row r="21" spans="1:7" ht="57.6" x14ac:dyDescent="0.3">
      <c r="A21" t="s">
        <v>24</v>
      </c>
      <c r="B21" s="3" t="s">
        <v>45</v>
      </c>
      <c r="E21" s="9" t="s">
        <v>252</v>
      </c>
      <c r="F21" s="3" t="s">
        <v>253</v>
      </c>
      <c r="G21" s="4" t="s">
        <v>33</v>
      </c>
    </row>
    <row r="22" spans="1:7" ht="57.6" x14ac:dyDescent="0.3">
      <c r="A22" t="s">
        <v>25</v>
      </c>
      <c r="B22" s="3" t="s">
        <v>46</v>
      </c>
      <c r="C22" s="3" t="s">
        <v>183</v>
      </c>
      <c r="E22" s="3" t="s">
        <v>254</v>
      </c>
      <c r="F22" s="3" t="s">
        <v>255</v>
      </c>
      <c r="G22" s="4" t="s">
        <v>33</v>
      </c>
    </row>
    <row r="23" spans="1:7" ht="43.2" x14ac:dyDescent="0.3">
      <c r="A23" t="s">
        <v>26</v>
      </c>
      <c r="B23" s="3" t="s">
        <v>47</v>
      </c>
      <c r="C23" s="3" t="s">
        <v>181</v>
      </c>
      <c r="E23" s="3" t="s">
        <v>260</v>
      </c>
      <c r="F23" s="3" t="s">
        <v>261</v>
      </c>
      <c r="G23" s="4" t="s">
        <v>33</v>
      </c>
    </row>
    <row r="24" spans="1:7" ht="43.2" x14ac:dyDescent="0.3">
      <c r="A24" t="s">
        <v>27</v>
      </c>
      <c r="B24" s="3" t="s">
        <v>262</v>
      </c>
      <c r="E24" s="3" t="s">
        <v>263</v>
      </c>
      <c r="F24" s="3" t="s">
        <v>264</v>
      </c>
      <c r="G24" s="4" t="s">
        <v>33</v>
      </c>
    </row>
    <row r="25" spans="1:7" ht="43.2" x14ac:dyDescent="0.3">
      <c r="A25" t="s">
        <v>28</v>
      </c>
      <c r="B25" s="3" t="s">
        <v>265</v>
      </c>
      <c r="E25" s="3" t="s">
        <v>244</v>
      </c>
      <c r="F25" s="3" t="s">
        <v>266</v>
      </c>
      <c r="G25" s="4" t="s">
        <v>33</v>
      </c>
    </row>
    <row r="26" spans="1:7" ht="72" x14ac:dyDescent="0.3">
      <c r="A26" t="s">
        <v>29</v>
      </c>
      <c r="B26" s="3" t="s">
        <v>48</v>
      </c>
      <c r="E26" s="3" t="s">
        <v>248</v>
      </c>
      <c r="F26" s="3" t="s">
        <v>249</v>
      </c>
      <c r="G26" s="4" t="s">
        <v>33</v>
      </c>
    </row>
    <row r="27" spans="1:7" ht="86.4" x14ac:dyDescent="0.3">
      <c r="A27" t="s">
        <v>52</v>
      </c>
      <c r="B27" s="3" t="s">
        <v>267</v>
      </c>
      <c r="E27" s="3" t="s">
        <v>268</v>
      </c>
      <c r="F27" s="3" t="s">
        <v>269</v>
      </c>
      <c r="G27" s="4" t="s">
        <v>33</v>
      </c>
    </row>
    <row r="28" spans="1:7" ht="43.2" x14ac:dyDescent="0.3">
      <c r="A28" t="s">
        <v>53</v>
      </c>
      <c r="B28" s="3" t="s">
        <v>49</v>
      </c>
      <c r="E28" s="3" t="s">
        <v>270</v>
      </c>
      <c r="F28" s="3" t="s">
        <v>271</v>
      </c>
      <c r="G28" s="4" t="s">
        <v>33</v>
      </c>
    </row>
    <row r="29" spans="1:7" ht="57.6" x14ac:dyDescent="0.3">
      <c r="A29" t="s">
        <v>54</v>
      </c>
      <c r="B29" s="3" t="s">
        <v>272</v>
      </c>
      <c r="E29" s="3" t="s">
        <v>273</v>
      </c>
      <c r="F29" s="3" t="s">
        <v>274</v>
      </c>
      <c r="G29" s="4" t="s">
        <v>33</v>
      </c>
    </row>
    <row r="30" spans="1:7" ht="28.8" x14ac:dyDescent="0.3">
      <c r="A30" t="s">
        <v>55</v>
      </c>
      <c r="B30" s="3" t="s">
        <v>50</v>
      </c>
      <c r="C30" s="3" t="s">
        <v>279</v>
      </c>
      <c r="E30" s="3" t="s">
        <v>275</v>
      </c>
      <c r="F30" s="3" t="s">
        <v>276</v>
      </c>
      <c r="G30" s="4" t="s">
        <v>33</v>
      </c>
    </row>
    <row r="31" spans="1:7" ht="72" x14ac:dyDescent="0.3">
      <c r="A31" t="s">
        <v>56</v>
      </c>
      <c r="B31" s="3" t="s">
        <v>51</v>
      </c>
      <c r="C31" s="3" t="s">
        <v>279</v>
      </c>
      <c r="E31" s="3" t="s">
        <v>277</v>
      </c>
      <c r="F31" s="3" t="s">
        <v>278</v>
      </c>
      <c r="G31" s="4" t="s">
        <v>33</v>
      </c>
    </row>
    <row r="32" spans="1:7" ht="100.8" x14ac:dyDescent="0.3">
      <c r="A32" t="s">
        <v>57</v>
      </c>
      <c r="B32" s="3" t="s">
        <v>60</v>
      </c>
      <c r="C32" t="s">
        <v>185</v>
      </c>
      <c r="E32" s="3" t="s">
        <v>280</v>
      </c>
      <c r="F32" s="3" t="s">
        <v>281</v>
      </c>
      <c r="G32" s="4" t="s">
        <v>33</v>
      </c>
    </row>
    <row r="33" spans="1:7" ht="43.2" x14ac:dyDescent="0.3">
      <c r="A33" t="s">
        <v>58</v>
      </c>
      <c r="B33" s="3" t="s">
        <v>61</v>
      </c>
      <c r="E33" s="3" t="s">
        <v>282</v>
      </c>
      <c r="F33" s="3" t="s">
        <v>283</v>
      </c>
      <c r="G33" s="4" t="s">
        <v>33</v>
      </c>
    </row>
    <row r="34" spans="1:7" ht="57.6" x14ac:dyDescent="0.3">
      <c r="A34" t="s">
        <v>59</v>
      </c>
      <c r="B34" s="3" t="s">
        <v>156</v>
      </c>
      <c r="C34" s="3" t="s">
        <v>184</v>
      </c>
      <c r="E34" s="3" t="s">
        <v>284</v>
      </c>
      <c r="F34" s="3" t="s">
        <v>285</v>
      </c>
      <c r="G34" s="7" t="s">
        <v>165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78118-8F04-4AC2-9DA4-BA3253410637}">
  <dimension ref="A1:G34"/>
  <sheetViews>
    <sheetView workbookViewId="0">
      <selection activeCell="G12" sqref="G12"/>
    </sheetView>
  </sheetViews>
  <sheetFormatPr defaultRowHeight="14.4" x14ac:dyDescent="0.3"/>
  <cols>
    <col min="1" max="1" width="13" customWidth="1"/>
    <col min="2" max="2" width="51.77734375" customWidth="1"/>
    <col min="3" max="3" width="21.5546875" customWidth="1"/>
    <col min="4" max="4" width="14.88671875" customWidth="1"/>
    <col min="5" max="5" width="19.6640625" customWidth="1"/>
    <col min="6" max="6" width="16.44140625" customWidth="1"/>
    <col min="7" max="7" width="12.44140625" customWidth="1"/>
  </cols>
  <sheetData>
    <row r="1" spans="1:7" ht="18" x14ac:dyDescent="0.3">
      <c r="A1" s="27" t="s">
        <v>212</v>
      </c>
      <c r="B1" s="28"/>
      <c r="C1" s="28"/>
      <c r="D1" s="28"/>
      <c r="E1" s="28"/>
      <c r="F1" s="28"/>
      <c r="G1" s="28"/>
    </row>
    <row r="2" spans="1:7" ht="15.6" x14ac:dyDescent="0.3">
      <c r="A2" s="29" t="s">
        <v>208</v>
      </c>
      <c r="B2" s="30"/>
      <c r="C2" s="31" t="s">
        <v>209</v>
      </c>
      <c r="D2" s="32"/>
      <c r="E2" s="33"/>
      <c r="F2" s="29" t="s">
        <v>210</v>
      </c>
      <c r="G2" s="30"/>
    </row>
    <row r="3" spans="1:7" ht="15.6" x14ac:dyDescent="0.3">
      <c r="A3" s="29" t="s">
        <v>211</v>
      </c>
      <c r="B3" s="30"/>
      <c r="C3" s="29" t="s">
        <v>214</v>
      </c>
      <c r="D3" s="34"/>
      <c r="E3" s="30"/>
      <c r="F3" s="29" t="s">
        <v>215</v>
      </c>
      <c r="G3" s="30"/>
    </row>
    <row r="4" spans="1:7" ht="18" x14ac:dyDescent="0.35">
      <c r="A4" s="1" t="s">
        <v>0</v>
      </c>
      <c r="B4" s="2" t="s">
        <v>1</v>
      </c>
      <c r="C4" s="2" t="s">
        <v>2</v>
      </c>
      <c r="D4" s="2" t="s">
        <v>3</v>
      </c>
      <c r="E4" s="10" t="s">
        <v>4</v>
      </c>
      <c r="F4" s="2" t="s">
        <v>5</v>
      </c>
      <c r="G4" s="2" t="s">
        <v>6</v>
      </c>
    </row>
    <row r="5" spans="1:7" ht="57.6" x14ac:dyDescent="0.3">
      <c r="A5" t="s">
        <v>62</v>
      </c>
      <c r="B5" s="3" t="s">
        <v>76</v>
      </c>
      <c r="C5" s="3" t="s">
        <v>186</v>
      </c>
      <c r="E5" s="3" t="s">
        <v>286</v>
      </c>
      <c r="F5" s="3" t="s">
        <v>287</v>
      </c>
      <c r="G5" s="7" t="s">
        <v>165</v>
      </c>
    </row>
    <row r="6" spans="1:7" ht="43.2" x14ac:dyDescent="0.3">
      <c r="A6" t="s">
        <v>63</v>
      </c>
      <c r="B6" s="3" t="s">
        <v>77</v>
      </c>
      <c r="C6" s="3" t="s">
        <v>187</v>
      </c>
      <c r="E6" s="3" t="s">
        <v>288</v>
      </c>
      <c r="F6" s="3" t="s">
        <v>289</v>
      </c>
      <c r="G6" s="7" t="s">
        <v>165</v>
      </c>
    </row>
    <row r="7" spans="1:7" ht="57.6" x14ac:dyDescent="0.3">
      <c r="A7" t="s">
        <v>64</v>
      </c>
      <c r="B7" t="s">
        <v>78</v>
      </c>
      <c r="C7" t="s">
        <v>291</v>
      </c>
      <c r="E7" s="3" t="s">
        <v>290</v>
      </c>
      <c r="F7" t="s">
        <v>292</v>
      </c>
      <c r="G7" s="7" t="s">
        <v>165</v>
      </c>
    </row>
    <row r="8" spans="1:7" ht="43.2" x14ac:dyDescent="0.3">
      <c r="A8" t="s">
        <v>65</v>
      </c>
      <c r="B8" t="s">
        <v>79</v>
      </c>
      <c r="C8" s="3" t="s">
        <v>188</v>
      </c>
      <c r="E8" s="3" t="s">
        <v>293</v>
      </c>
      <c r="F8" t="s">
        <v>294</v>
      </c>
      <c r="G8" s="7" t="s">
        <v>165</v>
      </c>
    </row>
    <row r="9" spans="1:7" ht="57.6" x14ac:dyDescent="0.3">
      <c r="A9" t="s">
        <v>66</v>
      </c>
      <c r="B9" t="s">
        <v>80</v>
      </c>
      <c r="C9" s="3" t="s">
        <v>189</v>
      </c>
      <c r="E9" s="3" t="s">
        <v>295</v>
      </c>
      <c r="F9" s="3" t="s">
        <v>296</v>
      </c>
      <c r="G9" s="4" t="s">
        <v>33</v>
      </c>
    </row>
    <row r="10" spans="1:7" ht="43.2" x14ac:dyDescent="0.3">
      <c r="A10" t="s">
        <v>67</v>
      </c>
      <c r="B10" s="3" t="s">
        <v>81</v>
      </c>
      <c r="E10" s="3" t="s">
        <v>297</v>
      </c>
      <c r="F10" s="3" t="s">
        <v>298</v>
      </c>
      <c r="G10" s="4" t="s">
        <v>33</v>
      </c>
    </row>
    <row r="11" spans="1:7" ht="43.2" x14ac:dyDescent="0.3">
      <c r="A11" t="s">
        <v>68</v>
      </c>
      <c r="B11" t="s">
        <v>82</v>
      </c>
      <c r="E11" s="3" t="s">
        <v>299</v>
      </c>
      <c r="F11" s="3" t="s">
        <v>300</v>
      </c>
      <c r="G11" s="4" t="s">
        <v>33</v>
      </c>
    </row>
    <row r="12" spans="1:7" ht="28.8" x14ac:dyDescent="0.3">
      <c r="A12" t="s">
        <v>69</v>
      </c>
      <c r="B12" t="s">
        <v>83</v>
      </c>
      <c r="C12" t="s">
        <v>190</v>
      </c>
      <c r="E12" s="3" t="s">
        <v>301</v>
      </c>
      <c r="F12" s="3" t="s">
        <v>302</v>
      </c>
      <c r="G12" s="7" t="s">
        <v>165</v>
      </c>
    </row>
    <row r="13" spans="1:7" ht="43.2" x14ac:dyDescent="0.3">
      <c r="A13" t="s">
        <v>70</v>
      </c>
      <c r="B13" s="3" t="s">
        <v>84</v>
      </c>
      <c r="E13" s="3" t="s">
        <v>303</v>
      </c>
      <c r="F13" s="3" t="s">
        <v>304</v>
      </c>
      <c r="G13" s="7" t="s">
        <v>165</v>
      </c>
    </row>
    <row r="14" spans="1:7" ht="43.2" x14ac:dyDescent="0.3">
      <c r="A14" t="s">
        <v>71</v>
      </c>
      <c r="B14" t="s">
        <v>85</v>
      </c>
      <c r="E14" s="3" t="s">
        <v>305</v>
      </c>
      <c r="F14" s="3" t="s">
        <v>306</v>
      </c>
      <c r="G14" s="7" t="s">
        <v>165</v>
      </c>
    </row>
    <row r="15" spans="1:7" ht="57.6" x14ac:dyDescent="0.3">
      <c r="A15" t="s">
        <v>72</v>
      </c>
      <c r="B15" s="3" t="s">
        <v>86</v>
      </c>
      <c r="E15" s="3" t="s">
        <v>307</v>
      </c>
      <c r="F15" s="3" t="s">
        <v>308</v>
      </c>
      <c r="G15" s="7" t="s">
        <v>165</v>
      </c>
    </row>
    <row r="16" spans="1:7" ht="43.2" x14ac:dyDescent="0.3">
      <c r="A16" t="s">
        <v>73</v>
      </c>
      <c r="B16" s="3" t="s">
        <v>87</v>
      </c>
      <c r="C16" t="s">
        <v>191</v>
      </c>
      <c r="E16" s="3" t="s">
        <v>309</v>
      </c>
      <c r="F16" s="3" t="s">
        <v>310</v>
      </c>
      <c r="G16" s="7" t="s">
        <v>165</v>
      </c>
    </row>
    <row r="17" spans="1:7" ht="28.8" x14ac:dyDescent="0.3">
      <c r="A17" t="s">
        <v>74</v>
      </c>
      <c r="B17" t="s">
        <v>88</v>
      </c>
      <c r="C17" t="s">
        <v>192</v>
      </c>
      <c r="E17" s="3" t="s">
        <v>311</v>
      </c>
      <c r="F17" s="3" t="s">
        <v>312</v>
      </c>
      <c r="G17" s="7" t="s">
        <v>165</v>
      </c>
    </row>
    <row r="18" spans="1:7" ht="57.6" x14ac:dyDescent="0.3">
      <c r="A18" t="s">
        <v>75</v>
      </c>
      <c r="B18" s="3" t="s">
        <v>89</v>
      </c>
      <c r="E18" s="3" t="s">
        <v>313</v>
      </c>
      <c r="F18" s="3" t="s">
        <v>314</v>
      </c>
      <c r="G18" s="4" t="s">
        <v>33</v>
      </c>
    </row>
    <row r="19" spans="1:7" ht="28.8" x14ac:dyDescent="0.3">
      <c r="A19" t="s">
        <v>90</v>
      </c>
      <c r="B19" s="3" t="s">
        <v>95</v>
      </c>
      <c r="C19" t="s">
        <v>176</v>
      </c>
      <c r="E19" s="3" t="s">
        <v>315</v>
      </c>
      <c r="F19" s="3" t="s">
        <v>292</v>
      </c>
      <c r="G19" s="7" t="s">
        <v>165</v>
      </c>
    </row>
    <row r="20" spans="1:7" ht="72" x14ac:dyDescent="0.3">
      <c r="A20" t="s">
        <v>91</v>
      </c>
      <c r="B20" s="3" t="s">
        <v>96</v>
      </c>
      <c r="C20" t="s">
        <v>193</v>
      </c>
      <c r="E20" s="3" t="s">
        <v>316</v>
      </c>
      <c r="F20" s="3" t="s">
        <v>317</v>
      </c>
      <c r="G20" s="4" t="s">
        <v>33</v>
      </c>
    </row>
    <row r="21" spans="1:7" ht="28.8" x14ac:dyDescent="0.3">
      <c r="A21" t="s">
        <v>92</v>
      </c>
      <c r="B21" s="3" t="s">
        <v>97</v>
      </c>
      <c r="E21" s="3" t="s">
        <v>318</v>
      </c>
      <c r="F21" s="3" t="s">
        <v>319</v>
      </c>
      <c r="G21" s="7" t="s">
        <v>165</v>
      </c>
    </row>
    <row r="22" spans="1:7" ht="43.2" x14ac:dyDescent="0.3">
      <c r="A22" t="s">
        <v>93</v>
      </c>
      <c r="B22" s="3" t="s">
        <v>98</v>
      </c>
      <c r="E22" s="3" t="s">
        <v>301</v>
      </c>
      <c r="F22" s="3" t="s">
        <v>302</v>
      </c>
      <c r="G22" s="7" t="s">
        <v>165</v>
      </c>
    </row>
    <row r="23" spans="1:7" ht="57.6" x14ac:dyDescent="0.3">
      <c r="A23" t="s">
        <v>94</v>
      </c>
      <c r="B23" s="3" t="s">
        <v>99</v>
      </c>
      <c r="E23" s="3" t="s">
        <v>320</v>
      </c>
      <c r="F23" s="3" t="s">
        <v>321</v>
      </c>
      <c r="G23" s="7" t="s">
        <v>165</v>
      </c>
    </row>
    <row r="24" spans="1:7" ht="28.8" x14ac:dyDescent="0.3">
      <c r="A24" t="s">
        <v>101</v>
      </c>
      <c r="B24" s="3" t="s">
        <v>112</v>
      </c>
      <c r="E24" s="3" t="s">
        <v>322</v>
      </c>
      <c r="F24" s="3" t="s">
        <v>323</v>
      </c>
      <c r="G24" s="4" t="s">
        <v>33</v>
      </c>
    </row>
    <row r="25" spans="1:7" ht="43.2" x14ac:dyDescent="0.3">
      <c r="A25" t="s">
        <v>102</v>
      </c>
      <c r="B25" s="3" t="s">
        <v>100</v>
      </c>
      <c r="C25" s="3" t="s">
        <v>194</v>
      </c>
      <c r="E25" s="3" t="s">
        <v>324</v>
      </c>
      <c r="F25" s="3" t="s">
        <v>325</v>
      </c>
      <c r="G25" s="7" t="s">
        <v>165</v>
      </c>
    </row>
    <row r="26" spans="1:7" ht="28.8" x14ac:dyDescent="0.3">
      <c r="A26" t="s">
        <v>103</v>
      </c>
      <c r="B26" s="3" t="s">
        <v>113</v>
      </c>
      <c r="C26" s="3" t="s">
        <v>195</v>
      </c>
      <c r="E26" s="3" t="s">
        <v>326</v>
      </c>
      <c r="F26" s="3" t="s">
        <v>325</v>
      </c>
      <c r="G26" s="7" t="s">
        <v>165</v>
      </c>
    </row>
    <row r="27" spans="1:7" ht="28.8" x14ac:dyDescent="0.3">
      <c r="A27" t="s">
        <v>104</v>
      </c>
      <c r="B27" s="3" t="s">
        <v>114</v>
      </c>
      <c r="C27" t="s">
        <v>196</v>
      </c>
      <c r="E27" s="3" t="s">
        <v>326</v>
      </c>
      <c r="F27" s="3" t="s">
        <v>325</v>
      </c>
      <c r="G27" s="7" t="s">
        <v>165</v>
      </c>
    </row>
    <row r="28" spans="1:7" ht="28.8" x14ac:dyDescent="0.3">
      <c r="A28" t="s">
        <v>105</v>
      </c>
      <c r="B28" s="3" t="s">
        <v>115</v>
      </c>
      <c r="C28" s="3" t="s">
        <v>197</v>
      </c>
      <c r="E28" s="3" t="s">
        <v>326</v>
      </c>
      <c r="F28" s="3" t="s">
        <v>325</v>
      </c>
      <c r="G28" s="7" t="s">
        <v>165</v>
      </c>
    </row>
    <row r="29" spans="1:7" ht="100.8" x14ac:dyDescent="0.3">
      <c r="A29" t="s">
        <v>106</v>
      </c>
      <c r="B29" s="3" t="s">
        <v>116</v>
      </c>
      <c r="C29" s="3" t="s">
        <v>198</v>
      </c>
      <c r="E29" s="3" t="s">
        <v>327</v>
      </c>
      <c r="F29" s="3" t="s">
        <v>328</v>
      </c>
      <c r="G29" s="4" t="s">
        <v>33</v>
      </c>
    </row>
    <row r="30" spans="1:7" ht="43.2" x14ac:dyDescent="0.3">
      <c r="A30" t="s">
        <v>107</v>
      </c>
      <c r="B30" s="3" t="s">
        <v>117</v>
      </c>
      <c r="E30" s="3" t="s">
        <v>329</v>
      </c>
      <c r="F30" s="3" t="s">
        <v>330</v>
      </c>
      <c r="G30" s="4" t="s">
        <v>33</v>
      </c>
    </row>
    <row r="31" spans="1:7" ht="100.8" x14ac:dyDescent="0.3">
      <c r="A31" t="s">
        <v>108</v>
      </c>
      <c r="B31" s="3" t="s">
        <v>118</v>
      </c>
      <c r="E31" s="3" t="s">
        <v>331</v>
      </c>
      <c r="F31" s="3" t="s">
        <v>332</v>
      </c>
      <c r="G31" s="4" t="s">
        <v>33</v>
      </c>
    </row>
    <row r="32" spans="1:7" ht="28.8" x14ac:dyDescent="0.3">
      <c r="A32" t="s">
        <v>109</v>
      </c>
      <c r="B32" s="3" t="s">
        <v>119</v>
      </c>
      <c r="C32" s="3" t="s">
        <v>199</v>
      </c>
      <c r="E32" s="3" t="s">
        <v>333</v>
      </c>
      <c r="F32" s="3" t="s">
        <v>334</v>
      </c>
      <c r="G32" s="7" t="s">
        <v>165</v>
      </c>
    </row>
    <row r="33" spans="1:7" ht="57.6" x14ac:dyDescent="0.3">
      <c r="A33" t="s">
        <v>110</v>
      </c>
      <c r="B33" s="3" t="s">
        <v>120</v>
      </c>
      <c r="E33" s="3" t="s">
        <v>335</v>
      </c>
      <c r="F33" s="3" t="s">
        <v>336</v>
      </c>
      <c r="G33" s="7" t="s">
        <v>165</v>
      </c>
    </row>
    <row r="34" spans="1:7" ht="72" x14ac:dyDescent="0.3">
      <c r="A34" t="s">
        <v>111</v>
      </c>
      <c r="B34" s="3" t="s">
        <v>121</v>
      </c>
      <c r="E34" s="3" t="s">
        <v>337</v>
      </c>
      <c r="F34" s="3" t="s">
        <v>338</v>
      </c>
      <c r="G34" s="4" t="s">
        <v>33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FA5C-8B1D-4B31-B9A2-B66CDE44AFAD}">
  <dimension ref="A1:G15"/>
  <sheetViews>
    <sheetView workbookViewId="0">
      <selection activeCell="G5" sqref="G5"/>
    </sheetView>
  </sheetViews>
  <sheetFormatPr defaultRowHeight="14.4" x14ac:dyDescent="0.3"/>
  <cols>
    <col min="1" max="1" width="12.88671875" customWidth="1"/>
    <col min="2" max="2" width="73.88671875" customWidth="1"/>
    <col min="3" max="3" width="15.77734375" customWidth="1"/>
    <col min="4" max="4" width="12.33203125" customWidth="1"/>
    <col min="5" max="5" width="16" customWidth="1"/>
    <col min="6" max="6" width="12.109375" customWidth="1"/>
  </cols>
  <sheetData>
    <row r="1" spans="1:7" ht="18" x14ac:dyDescent="0.3">
      <c r="A1" s="27" t="s">
        <v>212</v>
      </c>
      <c r="B1" s="28"/>
      <c r="C1" s="28"/>
      <c r="D1" s="28"/>
      <c r="E1" s="28"/>
      <c r="F1" s="28"/>
      <c r="G1" s="28"/>
    </row>
    <row r="2" spans="1:7" ht="15.6" x14ac:dyDescent="0.3">
      <c r="A2" s="29" t="s">
        <v>208</v>
      </c>
      <c r="B2" s="30"/>
      <c r="C2" s="31" t="s">
        <v>209</v>
      </c>
      <c r="D2" s="32"/>
      <c r="E2" s="33"/>
      <c r="F2" s="29" t="s">
        <v>210</v>
      </c>
      <c r="G2" s="30"/>
    </row>
    <row r="3" spans="1:7" ht="15.6" x14ac:dyDescent="0.3">
      <c r="A3" s="29" t="s">
        <v>211</v>
      </c>
      <c r="B3" s="30"/>
      <c r="C3" s="29" t="s">
        <v>216</v>
      </c>
      <c r="D3" s="34"/>
      <c r="E3" s="30"/>
      <c r="F3" s="29" t="s">
        <v>215</v>
      </c>
      <c r="G3" s="30"/>
    </row>
    <row r="4" spans="1:7" ht="18" x14ac:dyDescent="0.3">
      <c r="A4" s="1" t="s">
        <v>0</v>
      </c>
      <c r="B4" s="2" t="s">
        <v>1</v>
      </c>
      <c r="C4" s="1" t="s">
        <v>2</v>
      </c>
      <c r="D4" s="2" t="s">
        <v>3</v>
      </c>
      <c r="E4" s="1" t="s">
        <v>4</v>
      </c>
      <c r="F4" s="2" t="s">
        <v>5</v>
      </c>
      <c r="G4" s="2" t="s">
        <v>6</v>
      </c>
    </row>
    <row r="5" spans="1:7" ht="43.2" x14ac:dyDescent="0.3">
      <c r="A5" t="s">
        <v>124</v>
      </c>
      <c r="B5" t="s">
        <v>122</v>
      </c>
      <c r="E5" s="3" t="s">
        <v>339</v>
      </c>
      <c r="F5" s="3" t="s">
        <v>340</v>
      </c>
      <c r="G5" s="4" t="s">
        <v>33</v>
      </c>
    </row>
    <row r="6" spans="1:7" ht="43.2" x14ac:dyDescent="0.3">
      <c r="A6" t="s">
        <v>125</v>
      </c>
      <c r="B6" t="s">
        <v>123</v>
      </c>
      <c r="E6" s="3" t="s">
        <v>341</v>
      </c>
      <c r="F6" s="3" t="s">
        <v>342</v>
      </c>
      <c r="G6" s="4" t="s">
        <v>33</v>
      </c>
    </row>
    <row r="7" spans="1:7" ht="72" x14ac:dyDescent="0.3">
      <c r="A7" t="s">
        <v>126</v>
      </c>
      <c r="B7" t="s">
        <v>344</v>
      </c>
      <c r="C7" s="3" t="s">
        <v>200</v>
      </c>
      <c r="E7" s="3" t="s">
        <v>343</v>
      </c>
      <c r="F7" s="3" t="s">
        <v>345</v>
      </c>
      <c r="G7" s="4" t="s">
        <v>33</v>
      </c>
    </row>
    <row r="8" spans="1:7" ht="57.6" x14ac:dyDescent="0.3">
      <c r="A8" t="s">
        <v>127</v>
      </c>
      <c r="B8" t="s">
        <v>135</v>
      </c>
      <c r="C8" t="s">
        <v>201</v>
      </c>
      <c r="E8" s="3" t="s">
        <v>346</v>
      </c>
      <c r="F8" s="3" t="s">
        <v>347</v>
      </c>
      <c r="G8" s="7" t="s">
        <v>165</v>
      </c>
    </row>
    <row r="9" spans="1:7" ht="72" x14ac:dyDescent="0.3">
      <c r="A9" t="s">
        <v>128</v>
      </c>
      <c r="B9" t="s">
        <v>136</v>
      </c>
      <c r="C9" t="s">
        <v>202</v>
      </c>
      <c r="E9" s="3" t="s">
        <v>348</v>
      </c>
      <c r="F9" s="3" t="s">
        <v>349</v>
      </c>
      <c r="G9" s="7" t="s">
        <v>165</v>
      </c>
    </row>
    <row r="10" spans="1:7" ht="57.6" x14ac:dyDescent="0.3">
      <c r="A10" t="s">
        <v>129</v>
      </c>
      <c r="B10" t="s">
        <v>137</v>
      </c>
      <c r="C10" t="s">
        <v>203</v>
      </c>
      <c r="E10" s="3" t="s">
        <v>350</v>
      </c>
      <c r="F10" s="3" t="s">
        <v>351</v>
      </c>
      <c r="G10" s="7" t="s">
        <v>165</v>
      </c>
    </row>
    <row r="11" spans="1:7" ht="43.2" x14ac:dyDescent="0.3">
      <c r="A11" t="s">
        <v>130</v>
      </c>
      <c r="B11" t="s">
        <v>138</v>
      </c>
      <c r="E11" s="3" t="s">
        <v>352</v>
      </c>
      <c r="F11" s="3" t="s">
        <v>353</v>
      </c>
      <c r="G11" s="7" t="s">
        <v>165</v>
      </c>
    </row>
    <row r="12" spans="1:7" ht="43.2" x14ac:dyDescent="0.3">
      <c r="A12" t="s">
        <v>131</v>
      </c>
      <c r="B12" t="s">
        <v>139</v>
      </c>
      <c r="E12" s="3" t="s">
        <v>354</v>
      </c>
      <c r="F12" s="3" t="s">
        <v>355</v>
      </c>
      <c r="G12" s="7" t="s">
        <v>165</v>
      </c>
    </row>
    <row r="13" spans="1:7" ht="57.6" x14ac:dyDescent="0.3">
      <c r="A13" t="s">
        <v>132</v>
      </c>
      <c r="B13" t="s">
        <v>140</v>
      </c>
      <c r="C13" t="s">
        <v>176</v>
      </c>
      <c r="E13" s="3" t="s">
        <v>356</v>
      </c>
      <c r="F13" s="3" t="s">
        <v>357</v>
      </c>
      <c r="G13" s="7" t="s">
        <v>165</v>
      </c>
    </row>
    <row r="14" spans="1:7" ht="43.2" x14ac:dyDescent="0.3">
      <c r="A14" t="s">
        <v>133</v>
      </c>
      <c r="B14" t="s">
        <v>358</v>
      </c>
      <c r="C14" s="3" t="s">
        <v>204</v>
      </c>
      <c r="E14" s="3" t="s">
        <v>359</v>
      </c>
      <c r="F14" s="3" t="s">
        <v>360</v>
      </c>
      <c r="G14" s="4" t="s">
        <v>33</v>
      </c>
    </row>
    <row r="15" spans="1:7" ht="100.8" x14ac:dyDescent="0.3">
      <c r="A15" t="s">
        <v>134</v>
      </c>
      <c r="B15" t="s">
        <v>141</v>
      </c>
      <c r="E15" s="3" t="s">
        <v>361</v>
      </c>
      <c r="F15" s="3" t="s">
        <v>362</v>
      </c>
      <c r="G15" s="7" t="s">
        <v>165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87FA-7858-4A45-B0C1-6FA14A0A5EF6}">
  <dimension ref="A1:G15"/>
  <sheetViews>
    <sheetView topLeftCell="A7" workbookViewId="0">
      <selection activeCell="G12" sqref="G12"/>
    </sheetView>
  </sheetViews>
  <sheetFormatPr defaultRowHeight="14.4" x14ac:dyDescent="0.3"/>
  <cols>
    <col min="1" max="1" width="11.33203125" customWidth="1"/>
    <col min="2" max="2" width="50.33203125" customWidth="1"/>
    <col min="3" max="3" width="21.5546875" customWidth="1"/>
    <col min="4" max="4" width="11.44140625" customWidth="1"/>
    <col min="5" max="5" width="17.109375" customWidth="1"/>
    <col min="6" max="6" width="14.6640625" customWidth="1"/>
  </cols>
  <sheetData>
    <row r="1" spans="1:7" ht="18" x14ac:dyDescent="0.3">
      <c r="A1" s="27" t="s">
        <v>212</v>
      </c>
      <c r="B1" s="28"/>
      <c r="C1" s="28"/>
      <c r="D1" s="28"/>
      <c r="E1" s="28"/>
      <c r="F1" s="28"/>
      <c r="G1" s="28"/>
    </row>
    <row r="2" spans="1:7" ht="15.6" x14ac:dyDescent="0.3">
      <c r="A2" s="29" t="s">
        <v>208</v>
      </c>
      <c r="B2" s="30"/>
      <c r="C2" s="31" t="s">
        <v>209</v>
      </c>
      <c r="D2" s="32"/>
      <c r="E2" s="33"/>
      <c r="F2" s="29" t="s">
        <v>210</v>
      </c>
      <c r="G2" s="30"/>
    </row>
    <row r="3" spans="1:7" ht="15.6" x14ac:dyDescent="0.3">
      <c r="A3" s="29" t="s">
        <v>211</v>
      </c>
      <c r="B3" s="30"/>
      <c r="C3" s="29" t="s">
        <v>217</v>
      </c>
      <c r="D3" s="34"/>
      <c r="E3" s="30"/>
      <c r="F3" s="29" t="s">
        <v>215</v>
      </c>
      <c r="G3" s="30"/>
    </row>
    <row r="4" spans="1:7" ht="18" x14ac:dyDescent="0.3">
      <c r="A4" s="1" t="s">
        <v>0</v>
      </c>
      <c r="B4" s="2" t="s">
        <v>1</v>
      </c>
      <c r="C4" s="1" t="s">
        <v>2</v>
      </c>
      <c r="D4" s="2" t="s">
        <v>3</v>
      </c>
      <c r="E4" s="1" t="s">
        <v>4</v>
      </c>
      <c r="F4" s="2" t="s">
        <v>5</v>
      </c>
      <c r="G4" s="2" t="s">
        <v>6</v>
      </c>
    </row>
    <row r="5" spans="1:7" ht="57.6" x14ac:dyDescent="0.3">
      <c r="A5" t="s">
        <v>142</v>
      </c>
      <c r="B5" s="3" t="s">
        <v>147</v>
      </c>
      <c r="E5" s="3" t="s">
        <v>363</v>
      </c>
      <c r="F5" s="3" t="s">
        <v>364</v>
      </c>
      <c r="G5" s="7" t="s">
        <v>165</v>
      </c>
    </row>
    <row r="6" spans="1:7" ht="43.2" x14ac:dyDescent="0.3">
      <c r="A6" t="s">
        <v>143</v>
      </c>
      <c r="B6" s="3" t="s">
        <v>205</v>
      </c>
      <c r="E6" s="3" t="s">
        <v>365</v>
      </c>
      <c r="F6" s="3" t="s">
        <v>366</v>
      </c>
      <c r="G6" s="7" t="s">
        <v>165</v>
      </c>
    </row>
    <row r="7" spans="1:7" ht="57.6" x14ac:dyDescent="0.3">
      <c r="A7" t="s">
        <v>144</v>
      </c>
      <c r="B7" s="3" t="s">
        <v>148</v>
      </c>
      <c r="E7" s="3" t="s">
        <v>367</v>
      </c>
      <c r="F7" s="3" t="s">
        <v>368</v>
      </c>
      <c r="G7" s="4" t="s">
        <v>33</v>
      </c>
    </row>
    <row r="8" spans="1:7" ht="28.8" x14ac:dyDescent="0.3">
      <c r="A8" t="s">
        <v>145</v>
      </c>
      <c r="B8" s="3" t="s">
        <v>149</v>
      </c>
      <c r="E8" s="3" t="s">
        <v>369</v>
      </c>
      <c r="F8" s="3" t="s">
        <v>370</v>
      </c>
      <c r="G8" s="7" t="s">
        <v>165</v>
      </c>
    </row>
    <row r="9" spans="1:7" ht="43.2" x14ac:dyDescent="0.3">
      <c r="A9" t="s">
        <v>146</v>
      </c>
      <c r="B9" t="s">
        <v>150</v>
      </c>
      <c r="E9" s="3" t="s">
        <v>371</v>
      </c>
      <c r="F9" s="3" t="s">
        <v>372</v>
      </c>
      <c r="G9" s="7" t="s">
        <v>165</v>
      </c>
    </row>
    <row r="10" spans="1:7" ht="28.8" x14ac:dyDescent="0.3">
      <c r="A10" t="s">
        <v>166</v>
      </c>
      <c r="B10" t="s">
        <v>373</v>
      </c>
      <c r="E10" s="3" t="s">
        <v>374</v>
      </c>
      <c r="F10" s="3" t="s">
        <v>375</v>
      </c>
      <c r="G10" s="7" t="s">
        <v>165</v>
      </c>
    </row>
    <row r="11" spans="1:7" ht="43.2" x14ac:dyDescent="0.3">
      <c r="A11" t="s">
        <v>167</v>
      </c>
      <c r="B11" s="3" t="s">
        <v>151</v>
      </c>
      <c r="E11" s="3" t="s">
        <v>376</v>
      </c>
      <c r="F11" s="3" t="s">
        <v>377</v>
      </c>
      <c r="G11" s="7" t="s">
        <v>165</v>
      </c>
    </row>
    <row r="12" spans="1:7" ht="28.8" x14ac:dyDescent="0.3">
      <c r="A12" t="s">
        <v>168</v>
      </c>
      <c r="B12" s="3" t="s">
        <v>152</v>
      </c>
      <c r="E12" s="3" t="s">
        <v>378</v>
      </c>
      <c r="F12" s="3" t="s">
        <v>379</v>
      </c>
      <c r="G12" s="7" t="s">
        <v>165</v>
      </c>
    </row>
    <row r="13" spans="1:7" ht="72" x14ac:dyDescent="0.3">
      <c r="A13" t="s">
        <v>169</v>
      </c>
      <c r="B13" t="s">
        <v>153</v>
      </c>
      <c r="E13" s="3" t="s">
        <v>380</v>
      </c>
      <c r="F13" s="3" t="s">
        <v>381</v>
      </c>
      <c r="G13" s="7" t="s">
        <v>165</v>
      </c>
    </row>
    <row r="14" spans="1:7" ht="72" x14ac:dyDescent="0.3">
      <c r="A14" t="s">
        <v>170</v>
      </c>
      <c r="B14" s="3" t="s">
        <v>154</v>
      </c>
      <c r="E14" s="3" t="s">
        <v>382</v>
      </c>
      <c r="F14" s="3" t="s">
        <v>383</v>
      </c>
      <c r="G14" s="7" t="s">
        <v>165</v>
      </c>
    </row>
    <row r="15" spans="1:7" ht="43.2" x14ac:dyDescent="0.3">
      <c r="A15" t="s">
        <v>171</v>
      </c>
      <c r="B15" t="s">
        <v>155</v>
      </c>
      <c r="E15" s="3" t="s">
        <v>384</v>
      </c>
      <c r="F15" s="3" t="s">
        <v>385</v>
      </c>
      <c r="G15" s="7" t="s">
        <v>165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FC13-A56D-4FAF-B52A-76B13741688A}">
  <dimension ref="A1:G8"/>
  <sheetViews>
    <sheetView workbookViewId="0">
      <selection sqref="A1:G1"/>
    </sheetView>
  </sheetViews>
  <sheetFormatPr defaultRowHeight="14.4" x14ac:dyDescent="0.3"/>
  <cols>
    <col min="1" max="1" width="12.21875" customWidth="1"/>
    <col min="2" max="2" width="41.5546875" customWidth="1"/>
    <col min="3" max="3" width="11.109375" customWidth="1"/>
    <col min="4" max="4" width="11.21875" customWidth="1"/>
    <col min="5" max="5" width="20.88671875" customWidth="1"/>
    <col min="6" max="6" width="17.77734375" customWidth="1"/>
  </cols>
  <sheetData>
    <row r="1" spans="1:7" ht="18" x14ac:dyDescent="0.3">
      <c r="A1" s="27" t="s">
        <v>212</v>
      </c>
      <c r="B1" s="28"/>
      <c r="C1" s="28"/>
      <c r="D1" s="28"/>
      <c r="E1" s="28"/>
      <c r="F1" s="28"/>
      <c r="G1" s="28"/>
    </row>
    <row r="2" spans="1:7" ht="15.6" x14ac:dyDescent="0.3">
      <c r="A2" s="29" t="s">
        <v>208</v>
      </c>
      <c r="B2" s="30"/>
      <c r="C2" s="31" t="s">
        <v>209</v>
      </c>
      <c r="D2" s="32"/>
      <c r="E2" s="33"/>
      <c r="F2" s="29" t="s">
        <v>210</v>
      </c>
      <c r="G2" s="30"/>
    </row>
    <row r="3" spans="1:7" ht="15.6" x14ac:dyDescent="0.3">
      <c r="A3" s="29" t="s">
        <v>211</v>
      </c>
      <c r="B3" s="30"/>
      <c r="C3" s="29" t="s">
        <v>218</v>
      </c>
      <c r="D3" s="34"/>
      <c r="E3" s="30"/>
      <c r="F3" s="29" t="s">
        <v>215</v>
      </c>
      <c r="G3" s="30"/>
    </row>
    <row r="4" spans="1:7" ht="18" x14ac:dyDescent="0.3">
      <c r="A4" s="1" t="s">
        <v>0</v>
      </c>
      <c r="B4" s="2" t="s">
        <v>1</v>
      </c>
      <c r="C4" s="1" t="s">
        <v>2</v>
      </c>
      <c r="D4" s="2" t="s">
        <v>3</v>
      </c>
      <c r="E4" s="1" t="s">
        <v>4</v>
      </c>
      <c r="F4" s="2" t="s">
        <v>5</v>
      </c>
      <c r="G4" s="2" t="s">
        <v>6</v>
      </c>
    </row>
    <row r="5" spans="1:7" ht="28.8" x14ac:dyDescent="0.3">
      <c r="A5" t="s">
        <v>157</v>
      </c>
      <c r="B5" s="3" t="s">
        <v>160</v>
      </c>
      <c r="C5" s="3" t="s">
        <v>201</v>
      </c>
      <c r="E5" s="3" t="s">
        <v>386</v>
      </c>
      <c r="F5" s="3" t="s">
        <v>387</v>
      </c>
      <c r="G5" s="7" t="s">
        <v>165</v>
      </c>
    </row>
    <row r="6" spans="1:7" ht="43.2" x14ac:dyDescent="0.3">
      <c r="A6" t="s">
        <v>158</v>
      </c>
      <c r="B6" s="3" t="s">
        <v>161</v>
      </c>
      <c r="C6" s="3" t="s">
        <v>206</v>
      </c>
      <c r="E6" s="3" t="s">
        <v>388</v>
      </c>
      <c r="F6" s="3" t="s">
        <v>389</v>
      </c>
      <c r="G6" s="7" t="s">
        <v>165</v>
      </c>
    </row>
    <row r="7" spans="1:7" ht="43.2" x14ac:dyDescent="0.3">
      <c r="A7" t="s">
        <v>159</v>
      </c>
      <c r="B7" s="3" t="s">
        <v>162</v>
      </c>
      <c r="E7" s="3" t="s">
        <v>390</v>
      </c>
      <c r="F7" s="3" t="s">
        <v>391</v>
      </c>
      <c r="G7" s="4" t="s">
        <v>33</v>
      </c>
    </row>
    <row r="8" spans="1:7" ht="100.8" x14ac:dyDescent="0.3">
      <c r="A8" s="8" t="s">
        <v>164</v>
      </c>
      <c r="B8" s="8" t="s">
        <v>163</v>
      </c>
      <c r="C8" s="3" t="s">
        <v>207</v>
      </c>
      <c r="E8" s="3" t="s">
        <v>392</v>
      </c>
      <c r="F8" s="3" t="s">
        <v>393</v>
      </c>
      <c r="G8" s="7" t="s">
        <v>165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159F-125C-467D-BF9C-4E7441164546}">
  <dimension ref="A1:X41"/>
  <sheetViews>
    <sheetView topLeftCell="A22" workbookViewId="0">
      <selection activeCell="A7" sqref="A7"/>
    </sheetView>
  </sheetViews>
  <sheetFormatPr defaultRowHeight="14.4" x14ac:dyDescent="0.3"/>
  <cols>
    <col min="1" max="1" width="13.6640625" customWidth="1"/>
    <col min="2" max="2" width="13.88671875" customWidth="1"/>
    <col min="3" max="3" width="43" customWidth="1"/>
    <col min="4" max="4" width="20.77734375" customWidth="1"/>
    <col min="5" max="5" width="23.88671875" customWidth="1"/>
    <col min="6" max="6" width="22.33203125" customWidth="1"/>
    <col min="7" max="7" width="18.109375" customWidth="1"/>
    <col min="8" max="8" width="13" customWidth="1"/>
    <col min="9" max="9" width="14.21875" customWidth="1"/>
  </cols>
  <sheetData>
    <row r="1" spans="1:24" ht="21" x14ac:dyDescent="0.3">
      <c r="A1" s="35" t="s">
        <v>442</v>
      </c>
      <c r="B1" s="36"/>
      <c r="C1" s="36"/>
      <c r="D1" s="36"/>
      <c r="E1" s="36"/>
      <c r="F1" s="36"/>
      <c r="G1" s="36"/>
      <c r="H1" s="8"/>
      <c r="I1" s="8"/>
    </row>
    <row r="2" spans="1:24" ht="15.6" x14ac:dyDescent="0.3">
      <c r="A2" s="29" t="s">
        <v>208</v>
      </c>
      <c r="B2" s="30"/>
      <c r="C2" s="31" t="s">
        <v>209</v>
      </c>
      <c r="D2" s="32"/>
      <c r="E2" s="33"/>
      <c r="F2" s="29" t="s">
        <v>210</v>
      </c>
      <c r="G2" s="30"/>
      <c r="H2" s="8"/>
      <c r="I2" s="8"/>
    </row>
    <row r="3" spans="1:24" ht="15.6" x14ac:dyDescent="0.3">
      <c r="A3" s="29" t="s">
        <v>394</v>
      </c>
      <c r="B3" s="30"/>
      <c r="C3" s="29" t="s">
        <v>481</v>
      </c>
      <c r="D3" s="34"/>
      <c r="E3" s="30"/>
      <c r="F3" s="29" t="s">
        <v>489</v>
      </c>
      <c r="G3" s="30"/>
      <c r="H3" s="8"/>
      <c r="I3" s="8"/>
    </row>
    <row r="4" spans="1:24" ht="18" x14ac:dyDescent="0.3">
      <c r="A4" s="2" t="s">
        <v>395</v>
      </c>
      <c r="B4" s="2" t="s">
        <v>396</v>
      </c>
      <c r="C4" s="2" t="s">
        <v>397</v>
      </c>
      <c r="D4" s="2" t="s">
        <v>398</v>
      </c>
      <c r="E4" s="2" t="s">
        <v>399</v>
      </c>
      <c r="F4" s="2" t="s">
        <v>400</v>
      </c>
      <c r="G4" s="2" t="s">
        <v>401</v>
      </c>
      <c r="H4" s="2" t="s">
        <v>402</v>
      </c>
      <c r="I4" s="1" t="s">
        <v>403</v>
      </c>
    </row>
    <row r="5" spans="1:24" ht="86.4" x14ac:dyDescent="0.3">
      <c r="A5" t="s">
        <v>404</v>
      </c>
      <c r="B5" s="12" t="s">
        <v>9</v>
      </c>
      <c r="C5" s="9" t="s">
        <v>444</v>
      </c>
      <c r="D5" s="3" t="s">
        <v>221</v>
      </c>
      <c r="F5" s="3" t="s">
        <v>486</v>
      </c>
      <c r="G5" s="11" t="s">
        <v>485</v>
      </c>
      <c r="H5" s="11" t="s">
        <v>482</v>
      </c>
      <c r="I5" s="7" t="s">
        <v>441</v>
      </c>
    </row>
    <row r="6" spans="1:24" ht="28.8" x14ac:dyDescent="0.3">
      <c r="A6" t="s">
        <v>405</v>
      </c>
      <c r="B6" t="s">
        <v>13</v>
      </c>
      <c r="C6" s="3" t="s">
        <v>445</v>
      </c>
      <c r="D6" s="3" t="s">
        <v>230</v>
      </c>
      <c r="G6" t="s">
        <v>483</v>
      </c>
      <c r="H6" t="s">
        <v>483</v>
      </c>
      <c r="I6" s="7" t="s">
        <v>441</v>
      </c>
    </row>
    <row r="7" spans="1:24" ht="57.6" x14ac:dyDescent="0.3">
      <c r="A7" t="s">
        <v>406</v>
      </c>
      <c r="B7" t="s">
        <v>14</v>
      </c>
      <c r="C7" s="3" t="s">
        <v>446</v>
      </c>
      <c r="D7" s="3" t="s">
        <v>232</v>
      </c>
      <c r="F7" s="3" t="s">
        <v>487</v>
      </c>
      <c r="G7" s="11" t="s">
        <v>485</v>
      </c>
      <c r="H7" s="11" t="s">
        <v>482</v>
      </c>
      <c r="I7" s="7" t="s">
        <v>441</v>
      </c>
      <c r="T7" t="s">
        <v>490</v>
      </c>
      <c r="U7" t="s">
        <v>485</v>
      </c>
      <c r="V7" t="s">
        <v>483</v>
      </c>
      <c r="W7" t="s">
        <v>491</v>
      </c>
      <c r="X7" t="s">
        <v>484</v>
      </c>
    </row>
    <row r="8" spans="1:24" ht="57.6" x14ac:dyDescent="0.3">
      <c r="A8" t="s">
        <v>407</v>
      </c>
      <c r="B8" t="s">
        <v>19</v>
      </c>
      <c r="C8" s="3" t="s">
        <v>447</v>
      </c>
      <c r="D8" s="3" t="s">
        <v>242</v>
      </c>
      <c r="E8" t="s">
        <v>180</v>
      </c>
      <c r="F8" s="3" t="s">
        <v>488</v>
      </c>
      <c r="G8" s="11" t="s">
        <v>485</v>
      </c>
      <c r="H8" s="11" t="s">
        <v>482</v>
      </c>
      <c r="I8" s="7" t="s">
        <v>441</v>
      </c>
      <c r="U8">
        <v>8</v>
      </c>
      <c r="V8">
        <v>1</v>
      </c>
      <c r="W8">
        <v>0</v>
      </c>
      <c r="X8">
        <v>28</v>
      </c>
    </row>
    <row r="9" spans="1:24" ht="43.2" x14ac:dyDescent="0.3">
      <c r="A9" t="s">
        <v>408</v>
      </c>
      <c r="B9" t="s">
        <v>20</v>
      </c>
      <c r="C9" s="3" t="s">
        <v>448</v>
      </c>
      <c r="D9" s="3" t="s">
        <v>258</v>
      </c>
      <c r="E9" s="3" t="s">
        <v>256</v>
      </c>
      <c r="G9" s="11" t="s">
        <v>485</v>
      </c>
      <c r="H9" s="11" t="s">
        <v>482</v>
      </c>
      <c r="I9" s="7" t="s">
        <v>441</v>
      </c>
    </row>
    <row r="10" spans="1:24" ht="43.2" x14ac:dyDescent="0.3">
      <c r="A10" t="s">
        <v>409</v>
      </c>
      <c r="B10" t="s">
        <v>21</v>
      </c>
      <c r="C10" s="3" t="s">
        <v>449</v>
      </c>
      <c r="D10" s="3" t="s">
        <v>244</v>
      </c>
      <c r="G10" t="s">
        <v>484</v>
      </c>
      <c r="H10" t="s">
        <v>484</v>
      </c>
      <c r="I10" s="7" t="s">
        <v>441</v>
      </c>
      <c r="T10" t="s">
        <v>492</v>
      </c>
      <c r="U10" t="s">
        <v>482</v>
      </c>
      <c r="V10" t="s">
        <v>483</v>
      </c>
      <c r="W10" t="s">
        <v>484</v>
      </c>
    </row>
    <row r="11" spans="1:24" ht="28.8" x14ac:dyDescent="0.3">
      <c r="A11" t="s">
        <v>410</v>
      </c>
      <c r="B11" t="s">
        <v>22</v>
      </c>
      <c r="C11" s="3" t="s">
        <v>450</v>
      </c>
      <c r="D11" s="3" t="s">
        <v>246</v>
      </c>
      <c r="G11" t="s">
        <v>484</v>
      </c>
      <c r="H11" t="s">
        <v>484</v>
      </c>
      <c r="I11" s="7" t="s">
        <v>441</v>
      </c>
      <c r="U11">
        <v>7</v>
      </c>
      <c r="V11">
        <v>5</v>
      </c>
      <c r="W11">
        <v>25</v>
      </c>
    </row>
    <row r="12" spans="1:24" ht="43.2" x14ac:dyDescent="0.3">
      <c r="A12" t="s">
        <v>411</v>
      </c>
      <c r="B12" t="s">
        <v>23</v>
      </c>
      <c r="C12" s="3" t="s">
        <v>451</v>
      </c>
      <c r="D12" s="3" t="s">
        <v>250</v>
      </c>
      <c r="E12" s="3" t="s">
        <v>182</v>
      </c>
      <c r="G12" t="s">
        <v>484</v>
      </c>
      <c r="H12" t="s">
        <v>484</v>
      </c>
      <c r="I12" s="7" t="s">
        <v>441</v>
      </c>
    </row>
    <row r="13" spans="1:24" ht="43.2" x14ac:dyDescent="0.3">
      <c r="A13" t="s">
        <v>412</v>
      </c>
      <c r="B13" t="s">
        <v>24</v>
      </c>
      <c r="C13" s="3" t="s">
        <v>452</v>
      </c>
      <c r="D13" s="9" t="s">
        <v>252</v>
      </c>
      <c r="G13" t="s">
        <v>484</v>
      </c>
      <c r="H13" t="s">
        <v>484</v>
      </c>
      <c r="I13" s="7" t="s">
        <v>441</v>
      </c>
    </row>
    <row r="14" spans="1:24" ht="57.6" x14ac:dyDescent="0.3">
      <c r="A14" t="s">
        <v>413</v>
      </c>
      <c r="B14" t="s">
        <v>25</v>
      </c>
      <c r="C14" s="3" t="s">
        <v>453</v>
      </c>
      <c r="D14" s="3" t="s">
        <v>254</v>
      </c>
      <c r="E14" s="3" t="s">
        <v>183</v>
      </c>
      <c r="G14" t="s">
        <v>484</v>
      </c>
      <c r="H14" t="s">
        <v>484</v>
      </c>
      <c r="I14" s="7" t="s">
        <v>441</v>
      </c>
    </row>
    <row r="15" spans="1:24" ht="43.2" x14ac:dyDescent="0.3">
      <c r="A15" t="s">
        <v>414</v>
      </c>
      <c r="B15" t="s">
        <v>26</v>
      </c>
      <c r="C15" s="3" t="s">
        <v>454</v>
      </c>
      <c r="D15" s="3" t="s">
        <v>260</v>
      </c>
      <c r="E15" s="3" t="s">
        <v>181</v>
      </c>
      <c r="G15" t="s">
        <v>484</v>
      </c>
      <c r="H15" t="s">
        <v>484</v>
      </c>
      <c r="I15" s="7" t="s">
        <v>441</v>
      </c>
    </row>
    <row r="16" spans="1:24" ht="43.2" x14ac:dyDescent="0.3">
      <c r="A16" t="s">
        <v>415</v>
      </c>
      <c r="B16" t="s">
        <v>27</v>
      </c>
      <c r="C16" s="3" t="s">
        <v>455</v>
      </c>
      <c r="D16" s="3" t="s">
        <v>263</v>
      </c>
      <c r="G16" t="s">
        <v>484</v>
      </c>
      <c r="H16" t="s">
        <v>484</v>
      </c>
      <c r="I16" s="7" t="s">
        <v>441</v>
      </c>
    </row>
    <row r="17" spans="1:9" ht="43.2" x14ac:dyDescent="0.3">
      <c r="A17" t="s">
        <v>416</v>
      </c>
      <c r="B17" t="s">
        <v>28</v>
      </c>
      <c r="C17" s="3" t="s">
        <v>456</v>
      </c>
      <c r="D17" s="3" t="s">
        <v>244</v>
      </c>
      <c r="G17" t="s">
        <v>484</v>
      </c>
      <c r="H17" t="s">
        <v>484</v>
      </c>
      <c r="I17" s="7" t="s">
        <v>441</v>
      </c>
    </row>
    <row r="18" spans="1:9" ht="43.2" x14ac:dyDescent="0.3">
      <c r="A18" t="s">
        <v>417</v>
      </c>
      <c r="B18" t="s">
        <v>29</v>
      </c>
      <c r="C18" s="3" t="s">
        <v>457</v>
      </c>
      <c r="D18" s="3" t="s">
        <v>248</v>
      </c>
      <c r="G18" t="s">
        <v>484</v>
      </c>
      <c r="H18" t="s">
        <v>484</v>
      </c>
      <c r="I18" s="7" t="s">
        <v>441</v>
      </c>
    </row>
    <row r="19" spans="1:9" ht="28.8" x14ac:dyDescent="0.3">
      <c r="A19" t="s">
        <v>418</v>
      </c>
      <c r="B19" t="s">
        <v>52</v>
      </c>
      <c r="C19" s="3" t="s">
        <v>458</v>
      </c>
      <c r="D19" s="3" t="s">
        <v>268</v>
      </c>
      <c r="G19" t="s">
        <v>484</v>
      </c>
      <c r="H19" t="s">
        <v>484</v>
      </c>
      <c r="I19" s="7" t="s">
        <v>441</v>
      </c>
    </row>
    <row r="20" spans="1:9" ht="43.2" x14ac:dyDescent="0.3">
      <c r="A20" t="s">
        <v>419</v>
      </c>
      <c r="B20" t="s">
        <v>53</v>
      </c>
      <c r="C20" s="3" t="s">
        <v>459</v>
      </c>
      <c r="D20" s="3" t="s">
        <v>270</v>
      </c>
      <c r="G20" t="s">
        <v>484</v>
      </c>
      <c r="H20" t="s">
        <v>484</v>
      </c>
      <c r="I20" s="7" t="s">
        <v>441</v>
      </c>
    </row>
    <row r="21" spans="1:9" ht="43.2" x14ac:dyDescent="0.3">
      <c r="A21" t="s">
        <v>420</v>
      </c>
      <c r="B21" t="s">
        <v>54</v>
      </c>
      <c r="C21" s="3" t="s">
        <v>460</v>
      </c>
      <c r="D21" s="3" t="s">
        <v>273</v>
      </c>
      <c r="G21" t="s">
        <v>484</v>
      </c>
      <c r="H21" t="s">
        <v>484</v>
      </c>
      <c r="I21" s="7" t="s">
        <v>441</v>
      </c>
    </row>
    <row r="22" spans="1:9" ht="28.8" x14ac:dyDescent="0.3">
      <c r="A22" t="s">
        <v>421</v>
      </c>
      <c r="B22" t="s">
        <v>55</v>
      </c>
      <c r="C22" s="3" t="s">
        <v>461</v>
      </c>
      <c r="D22" s="3" t="s">
        <v>275</v>
      </c>
      <c r="G22" t="s">
        <v>484</v>
      </c>
      <c r="H22" t="s">
        <v>484</v>
      </c>
      <c r="I22" s="7" t="s">
        <v>441</v>
      </c>
    </row>
    <row r="23" spans="1:9" ht="43.2" x14ac:dyDescent="0.3">
      <c r="A23" t="s">
        <v>422</v>
      </c>
      <c r="B23" t="s">
        <v>56</v>
      </c>
      <c r="C23" s="3" t="s">
        <v>462</v>
      </c>
      <c r="D23" s="3" t="s">
        <v>277</v>
      </c>
      <c r="G23" t="s">
        <v>484</v>
      </c>
      <c r="H23" t="s">
        <v>484</v>
      </c>
      <c r="I23" s="7" t="s">
        <v>441</v>
      </c>
    </row>
    <row r="24" spans="1:9" ht="72" x14ac:dyDescent="0.3">
      <c r="A24" t="s">
        <v>423</v>
      </c>
      <c r="B24" t="s">
        <v>57</v>
      </c>
      <c r="C24" s="3" t="s">
        <v>463</v>
      </c>
      <c r="D24" s="3" t="s">
        <v>280</v>
      </c>
      <c r="E24" t="s">
        <v>185</v>
      </c>
      <c r="G24" s="11" t="s">
        <v>485</v>
      </c>
      <c r="H24" t="s">
        <v>483</v>
      </c>
      <c r="I24" s="7" t="s">
        <v>441</v>
      </c>
    </row>
    <row r="25" spans="1:9" ht="43.2" x14ac:dyDescent="0.3">
      <c r="A25" t="s">
        <v>424</v>
      </c>
      <c r="B25" t="s">
        <v>58</v>
      </c>
      <c r="C25" s="3" t="s">
        <v>465</v>
      </c>
      <c r="D25" s="3" t="s">
        <v>282</v>
      </c>
      <c r="G25" s="11" t="s">
        <v>485</v>
      </c>
      <c r="H25" s="11" t="s">
        <v>482</v>
      </c>
      <c r="I25" s="7" t="s">
        <v>441</v>
      </c>
    </row>
    <row r="26" spans="1:9" ht="43.2" x14ac:dyDescent="0.3">
      <c r="A26" t="s">
        <v>425</v>
      </c>
      <c r="B26" t="s">
        <v>66</v>
      </c>
      <c r="C26" t="s">
        <v>464</v>
      </c>
      <c r="D26" s="3" t="s">
        <v>295</v>
      </c>
      <c r="E26" s="3" t="s">
        <v>189</v>
      </c>
      <c r="G26" s="11" t="s">
        <v>485</v>
      </c>
      <c r="H26" s="11" t="s">
        <v>482</v>
      </c>
      <c r="I26" s="7" t="s">
        <v>441</v>
      </c>
    </row>
    <row r="27" spans="1:9" ht="43.2" x14ac:dyDescent="0.3">
      <c r="A27" t="s">
        <v>426</v>
      </c>
      <c r="B27" t="s">
        <v>67</v>
      </c>
      <c r="C27" s="3" t="s">
        <v>466</v>
      </c>
      <c r="D27" s="3" t="s">
        <v>297</v>
      </c>
      <c r="G27" t="s">
        <v>484</v>
      </c>
      <c r="H27" t="s">
        <v>484</v>
      </c>
      <c r="I27" s="7" t="s">
        <v>441</v>
      </c>
    </row>
    <row r="28" spans="1:9" ht="28.8" x14ac:dyDescent="0.3">
      <c r="A28" t="s">
        <v>427</v>
      </c>
      <c r="B28" t="s">
        <v>68</v>
      </c>
      <c r="C28" t="s">
        <v>467</v>
      </c>
      <c r="D28" s="3" t="s">
        <v>299</v>
      </c>
      <c r="G28" t="s">
        <v>484</v>
      </c>
      <c r="H28" t="s">
        <v>484</v>
      </c>
      <c r="I28" s="7" t="s">
        <v>441</v>
      </c>
    </row>
    <row r="29" spans="1:9" ht="28.8" x14ac:dyDescent="0.3">
      <c r="A29" t="s">
        <v>428</v>
      </c>
      <c r="B29" t="s">
        <v>75</v>
      </c>
      <c r="C29" s="3" t="s">
        <v>468</v>
      </c>
      <c r="D29" s="3" t="s">
        <v>313</v>
      </c>
      <c r="G29" t="s">
        <v>484</v>
      </c>
      <c r="H29" t="s">
        <v>484</v>
      </c>
      <c r="I29" s="7" t="s">
        <v>441</v>
      </c>
    </row>
    <row r="30" spans="1:9" ht="57.6" x14ac:dyDescent="0.3">
      <c r="A30" t="s">
        <v>429</v>
      </c>
      <c r="B30" t="s">
        <v>91</v>
      </c>
      <c r="C30" s="3" t="s">
        <v>469</v>
      </c>
      <c r="D30" s="3" t="s">
        <v>316</v>
      </c>
      <c r="E30" t="s">
        <v>193</v>
      </c>
      <c r="G30" t="s">
        <v>484</v>
      </c>
      <c r="H30" t="s">
        <v>483</v>
      </c>
      <c r="I30" s="7" t="s">
        <v>441</v>
      </c>
    </row>
    <row r="31" spans="1:9" ht="28.8" x14ac:dyDescent="0.3">
      <c r="A31" t="s">
        <v>430</v>
      </c>
      <c r="B31" t="s">
        <v>101</v>
      </c>
      <c r="C31" s="3" t="s">
        <v>470</v>
      </c>
      <c r="D31" s="3" t="s">
        <v>322</v>
      </c>
      <c r="G31" t="s">
        <v>484</v>
      </c>
      <c r="H31" t="s">
        <v>484</v>
      </c>
      <c r="I31" s="7" t="s">
        <v>441</v>
      </c>
    </row>
    <row r="32" spans="1:9" ht="86.4" x14ac:dyDescent="0.3">
      <c r="A32" t="s">
        <v>431</v>
      </c>
      <c r="B32" t="s">
        <v>106</v>
      </c>
      <c r="C32" s="3" t="s">
        <v>471</v>
      </c>
      <c r="D32" s="3" t="s">
        <v>327</v>
      </c>
      <c r="E32" s="3" t="s">
        <v>198</v>
      </c>
      <c r="G32" t="s">
        <v>484</v>
      </c>
      <c r="H32" t="s">
        <v>484</v>
      </c>
      <c r="I32" s="7" t="s">
        <v>441</v>
      </c>
    </row>
    <row r="33" spans="1:9" ht="28.8" x14ac:dyDescent="0.3">
      <c r="A33" t="s">
        <v>432</v>
      </c>
      <c r="B33" t="s">
        <v>107</v>
      </c>
      <c r="C33" s="3" t="s">
        <v>472</v>
      </c>
      <c r="D33" s="3" t="s">
        <v>329</v>
      </c>
      <c r="G33" t="s">
        <v>484</v>
      </c>
      <c r="H33" t="s">
        <v>484</v>
      </c>
      <c r="I33" s="7" t="s">
        <v>441</v>
      </c>
    </row>
    <row r="34" spans="1:9" ht="43.2" x14ac:dyDescent="0.3">
      <c r="A34" t="s">
        <v>433</v>
      </c>
      <c r="B34" t="s">
        <v>108</v>
      </c>
      <c r="C34" s="3" t="s">
        <v>473</v>
      </c>
      <c r="D34" s="3" t="s">
        <v>331</v>
      </c>
      <c r="G34" t="s">
        <v>484</v>
      </c>
      <c r="H34" t="s">
        <v>484</v>
      </c>
      <c r="I34" s="7" t="s">
        <v>441</v>
      </c>
    </row>
    <row r="35" spans="1:9" ht="43.2" x14ac:dyDescent="0.3">
      <c r="A35" t="s">
        <v>434</v>
      </c>
      <c r="B35" t="s">
        <v>111</v>
      </c>
      <c r="C35" s="3" t="s">
        <v>474</v>
      </c>
      <c r="D35" s="3" t="s">
        <v>337</v>
      </c>
      <c r="G35" t="s">
        <v>484</v>
      </c>
      <c r="H35" t="s">
        <v>484</v>
      </c>
      <c r="I35" s="7" t="s">
        <v>441</v>
      </c>
    </row>
    <row r="36" spans="1:9" ht="28.8" x14ac:dyDescent="0.3">
      <c r="A36" t="s">
        <v>435</v>
      </c>
      <c r="B36" t="s">
        <v>124</v>
      </c>
      <c r="C36" t="s">
        <v>475</v>
      </c>
      <c r="D36" s="3" t="s">
        <v>339</v>
      </c>
      <c r="G36" t="s">
        <v>484</v>
      </c>
      <c r="H36" t="s">
        <v>484</v>
      </c>
      <c r="I36" s="7" t="s">
        <v>441</v>
      </c>
    </row>
    <row r="37" spans="1:9" ht="28.8" x14ac:dyDescent="0.3">
      <c r="A37" t="s">
        <v>436</v>
      </c>
      <c r="B37" t="s">
        <v>125</v>
      </c>
      <c r="C37" t="s">
        <v>476</v>
      </c>
      <c r="D37" s="3" t="s">
        <v>341</v>
      </c>
      <c r="G37" t="s">
        <v>484</v>
      </c>
      <c r="H37" t="s">
        <v>484</v>
      </c>
      <c r="I37" s="7" t="s">
        <v>441</v>
      </c>
    </row>
    <row r="38" spans="1:9" ht="43.2" x14ac:dyDescent="0.3">
      <c r="A38" t="s">
        <v>437</v>
      </c>
      <c r="B38" t="s">
        <v>126</v>
      </c>
      <c r="C38" t="s">
        <v>477</v>
      </c>
      <c r="D38" s="3" t="s">
        <v>343</v>
      </c>
      <c r="E38" s="3" t="s">
        <v>200</v>
      </c>
      <c r="G38" t="s">
        <v>484</v>
      </c>
      <c r="H38" t="s">
        <v>484</v>
      </c>
      <c r="I38" s="7" t="s">
        <v>441</v>
      </c>
    </row>
    <row r="39" spans="1:9" ht="28.8" x14ac:dyDescent="0.3">
      <c r="A39" t="s">
        <v>438</v>
      </c>
      <c r="B39" t="s">
        <v>133</v>
      </c>
      <c r="C39" s="3" t="s">
        <v>478</v>
      </c>
      <c r="D39" s="3" t="s">
        <v>359</v>
      </c>
      <c r="E39" s="3" t="s">
        <v>204</v>
      </c>
      <c r="G39" t="s">
        <v>484</v>
      </c>
      <c r="H39" t="s">
        <v>483</v>
      </c>
      <c r="I39" s="7" t="s">
        <v>441</v>
      </c>
    </row>
    <row r="40" spans="1:9" ht="43.2" x14ac:dyDescent="0.3">
      <c r="A40" t="s">
        <v>439</v>
      </c>
      <c r="B40" t="s">
        <v>144</v>
      </c>
      <c r="C40" s="3" t="s">
        <v>479</v>
      </c>
      <c r="D40" s="3" t="s">
        <v>367</v>
      </c>
      <c r="G40" s="11" t="s">
        <v>485</v>
      </c>
      <c r="H40" s="11" t="s">
        <v>482</v>
      </c>
      <c r="I40" s="7" t="s">
        <v>441</v>
      </c>
    </row>
    <row r="41" spans="1:9" ht="43.2" x14ac:dyDescent="0.3">
      <c r="A41" t="s">
        <v>440</v>
      </c>
      <c r="B41" t="s">
        <v>159</v>
      </c>
      <c r="C41" s="3" t="s">
        <v>480</v>
      </c>
      <c r="D41" s="3" t="s">
        <v>390</v>
      </c>
      <c r="G41" t="s">
        <v>484</v>
      </c>
      <c r="H41" t="s">
        <v>483</v>
      </c>
      <c r="I41" s="7" t="s">
        <v>441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honeticPr fontId="3" type="noConversion"/>
  <hyperlinks>
    <hyperlink ref="A1" r:id="rId1" display="https://aramya.in/" xr:uid="{A4643D3E-C62A-4693-957C-682A5D834DB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50E4-5442-48EE-B950-D49C271F708D}">
  <dimension ref="B3:O13"/>
  <sheetViews>
    <sheetView tabSelected="1" workbookViewId="0">
      <selection activeCell="E19" sqref="E19"/>
    </sheetView>
  </sheetViews>
  <sheetFormatPr defaultRowHeight="14.4" x14ac:dyDescent="0.3"/>
  <cols>
    <col min="2" max="2" width="19.109375" customWidth="1"/>
    <col min="3" max="3" width="8.88671875" customWidth="1"/>
    <col min="4" max="4" width="12.109375" customWidth="1"/>
    <col min="5" max="5" width="19.21875" customWidth="1"/>
    <col min="6" max="6" width="22.21875" customWidth="1"/>
    <col min="7" max="7" width="12.109375" customWidth="1"/>
    <col min="8" max="8" width="10.33203125" customWidth="1"/>
    <col min="9" max="9" width="8.77734375" customWidth="1"/>
    <col min="10" max="10" width="12" customWidth="1"/>
    <col min="11" max="11" width="11" customWidth="1"/>
    <col min="12" max="12" width="10" customWidth="1"/>
    <col min="13" max="13" width="12.33203125" customWidth="1"/>
    <col min="14" max="14" width="15.6640625" customWidth="1"/>
    <col min="15" max="15" width="15.77734375" customWidth="1"/>
  </cols>
  <sheetData>
    <row r="3" spans="2:15" ht="18" x14ac:dyDescent="0.35">
      <c r="D3" s="26" t="s">
        <v>509</v>
      </c>
      <c r="E3" s="26"/>
    </row>
    <row r="7" spans="2:15" ht="16.2" customHeight="1" x14ac:dyDescent="0.35">
      <c r="B7" s="37" t="s">
        <v>493</v>
      </c>
      <c r="C7" s="38" t="s">
        <v>495</v>
      </c>
      <c r="D7" s="37" t="s">
        <v>494</v>
      </c>
      <c r="F7" s="39" t="s">
        <v>505</v>
      </c>
      <c r="G7" s="39" t="s">
        <v>501</v>
      </c>
      <c r="H7" s="39" t="s">
        <v>497</v>
      </c>
      <c r="I7" s="39" t="s">
        <v>498</v>
      </c>
      <c r="J7" s="39" t="s">
        <v>499</v>
      </c>
      <c r="N7" s="22"/>
      <c r="O7" s="23"/>
    </row>
    <row r="8" spans="2:15" x14ac:dyDescent="0.3">
      <c r="B8" s="16" t="s">
        <v>496</v>
      </c>
      <c r="C8" s="13">
        <v>87</v>
      </c>
      <c r="D8" s="13">
        <v>100</v>
      </c>
      <c r="F8" s="14" t="s">
        <v>503</v>
      </c>
      <c r="G8" s="17">
        <v>31</v>
      </c>
      <c r="H8" s="17">
        <v>9</v>
      </c>
      <c r="I8" s="17">
        <v>22</v>
      </c>
      <c r="J8" s="17">
        <v>0</v>
      </c>
      <c r="N8" s="19"/>
      <c r="O8" s="20"/>
    </row>
    <row r="9" spans="2:15" ht="16.8" customHeight="1" x14ac:dyDescent="0.3">
      <c r="B9" s="16" t="s">
        <v>497</v>
      </c>
      <c r="C9" s="13">
        <v>49</v>
      </c>
      <c r="D9" s="13">
        <f>ROUND(C9/C8*100,1)</f>
        <v>56.3</v>
      </c>
      <c r="F9" s="14" t="s">
        <v>504</v>
      </c>
      <c r="G9" s="17">
        <v>30</v>
      </c>
      <c r="H9" s="17">
        <v>20</v>
      </c>
      <c r="I9" s="17">
        <v>10</v>
      </c>
      <c r="J9" s="17">
        <v>0</v>
      </c>
      <c r="N9" s="19"/>
      <c r="O9" s="20"/>
    </row>
    <row r="10" spans="2:15" x14ac:dyDescent="0.3">
      <c r="B10" s="16" t="s">
        <v>498</v>
      </c>
      <c r="C10" s="13">
        <f>C8-C9</f>
        <v>38</v>
      </c>
      <c r="D10" s="13">
        <f>ROUND(C10/C8*100,1)</f>
        <v>43.7</v>
      </c>
      <c r="F10" s="14" t="s">
        <v>506</v>
      </c>
      <c r="G10" s="17">
        <v>11</v>
      </c>
      <c r="H10" s="17">
        <v>7</v>
      </c>
      <c r="I10" s="17">
        <v>4</v>
      </c>
      <c r="J10" s="17">
        <v>0</v>
      </c>
      <c r="N10" s="19"/>
      <c r="O10" s="20"/>
    </row>
    <row r="11" spans="2:15" ht="18" customHeight="1" x14ac:dyDescent="0.3">
      <c r="B11" s="16" t="s">
        <v>499</v>
      </c>
      <c r="C11" s="13">
        <v>0</v>
      </c>
      <c r="D11" s="13">
        <v>0</v>
      </c>
      <c r="F11" s="14" t="s">
        <v>507</v>
      </c>
      <c r="G11" s="13">
        <v>11</v>
      </c>
      <c r="H11" s="13">
        <v>10</v>
      </c>
      <c r="I11" s="13">
        <v>1</v>
      </c>
      <c r="J11" s="13">
        <v>0</v>
      </c>
    </row>
    <row r="12" spans="2:15" ht="15.6" customHeight="1" x14ac:dyDescent="0.3">
      <c r="B12" s="16" t="s">
        <v>500</v>
      </c>
      <c r="C12" s="13">
        <v>0</v>
      </c>
      <c r="D12" s="13">
        <v>0</v>
      </c>
      <c r="F12" s="14" t="s">
        <v>508</v>
      </c>
      <c r="G12" s="13">
        <v>4</v>
      </c>
      <c r="H12" s="13">
        <v>3</v>
      </c>
      <c r="I12" s="13">
        <v>1</v>
      </c>
      <c r="J12" s="13">
        <v>0</v>
      </c>
    </row>
    <row r="13" spans="2:15" ht="18.600000000000001" customHeight="1" x14ac:dyDescent="0.3">
      <c r="F13" s="15" t="s">
        <v>502</v>
      </c>
      <c r="G13" s="18">
        <v>87</v>
      </c>
      <c r="H13" s="18">
        <v>49</v>
      </c>
      <c r="I13" s="18">
        <v>38</v>
      </c>
      <c r="J13" s="18">
        <v>0</v>
      </c>
      <c r="N13" s="21"/>
      <c r="O13" s="21"/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AD0F-5886-4CA3-BD19-1DC631BBA029}">
  <dimension ref="F23:L27"/>
  <sheetViews>
    <sheetView topLeftCell="A4" workbookViewId="0">
      <selection activeCell="J27" sqref="J27"/>
    </sheetView>
  </sheetViews>
  <sheetFormatPr defaultRowHeight="14.4" x14ac:dyDescent="0.3"/>
  <cols>
    <col min="6" max="6" width="9.88671875" customWidth="1"/>
  </cols>
  <sheetData>
    <row r="23" spans="6:12" ht="18" x14ac:dyDescent="0.35">
      <c r="F23" s="25" t="s">
        <v>490</v>
      </c>
      <c r="G23" s="16" t="s">
        <v>495</v>
      </c>
      <c r="K23" s="25" t="s">
        <v>492</v>
      </c>
      <c r="L23" s="16" t="s">
        <v>495</v>
      </c>
    </row>
    <row r="24" spans="6:12" x14ac:dyDescent="0.3">
      <c r="F24" s="24" t="s">
        <v>485</v>
      </c>
      <c r="G24" s="16">
        <v>8</v>
      </c>
      <c r="K24" s="24" t="s">
        <v>482</v>
      </c>
      <c r="L24" s="16">
        <v>7</v>
      </c>
    </row>
    <row r="25" spans="6:12" x14ac:dyDescent="0.3">
      <c r="F25" s="16" t="s">
        <v>483</v>
      </c>
      <c r="G25" s="16">
        <v>1</v>
      </c>
      <c r="K25" s="16" t="s">
        <v>483</v>
      </c>
      <c r="L25" s="16">
        <v>5</v>
      </c>
    </row>
    <row r="26" spans="6:12" x14ac:dyDescent="0.3">
      <c r="F26" s="16" t="s">
        <v>491</v>
      </c>
      <c r="G26" s="16">
        <v>0</v>
      </c>
      <c r="K26" s="16" t="s">
        <v>484</v>
      </c>
      <c r="L26" s="16">
        <v>25</v>
      </c>
    </row>
    <row r="27" spans="6:12" x14ac:dyDescent="0.3">
      <c r="F27" s="16" t="s">
        <v>484</v>
      </c>
      <c r="G27" s="16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</vt:lpstr>
      <vt:lpstr>Product selection</vt:lpstr>
      <vt:lpstr>Cart</vt:lpstr>
      <vt:lpstr>Payment functionality</vt:lpstr>
      <vt:lpstr>Customer Review</vt:lpstr>
      <vt:lpstr>Bug Report</vt:lpstr>
      <vt:lpstr>Test Execution Summary</vt:lpstr>
      <vt:lpstr>Defect Distibution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 Puliakot</dc:creator>
  <cp:lastModifiedBy>Padma priya Puliakot</cp:lastModifiedBy>
  <dcterms:created xsi:type="dcterms:W3CDTF">2025-11-11T15:13:44Z</dcterms:created>
  <dcterms:modified xsi:type="dcterms:W3CDTF">2026-01-06T07:30:43Z</dcterms:modified>
</cp:coreProperties>
</file>